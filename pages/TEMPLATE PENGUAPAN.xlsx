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Penguapan" sheetId="1" r:id="rId1"/>
  </sheets>
  <definedNames>
    <definedName name="_LPM2">#REF!</definedName>
    <definedName name="_LPM3">#REF!</definedName>
    <definedName name="NONA">#REF!</definedName>
    <definedName name="_xlnm.Print_Area" localSheetId="0">Penguapan!$A$1:$P$35</definedName>
  </definedNames>
  <calcPr calcId="144525"/>
</workbook>
</file>

<file path=xl/sharedStrings.xml><?xml version="1.0" encoding="utf-8"?>
<sst xmlns="http://schemas.openxmlformats.org/spreadsheetml/2006/main" count="118" uniqueCount="48">
  <si>
    <t>HTH helper: &lt;1 mm = tanpa hujan; &gt;=1 mm/TTU = hujan</t>
  </si>
  <si>
    <t>PEMERIKSAAN PENGUAPAN PANCI TERBUKA</t>
  </si>
  <si>
    <t>TAHUN</t>
  </si>
  <si>
    <t>:  2026</t>
  </si>
  <si>
    <t>STASIUN PENGUAPAN NO.</t>
  </si>
  <si>
    <t>:  049</t>
  </si>
  <si>
    <t>BULAN</t>
  </si>
  <si>
    <t>STASIUN HUJAN NO.</t>
  </si>
  <si>
    <t>:  461</t>
  </si>
  <si>
    <t>TEMPAT PEMERIKSAAN</t>
  </si>
  <si>
    <t>:  Stamet Umbu Mehang Kunda</t>
  </si>
  <si>
    <t>KECAMATAN</t>
  </si>
  <si>
    <t>:  Kambera</t>
  </si>
  <si>
    <t>PEMERIKSAAN PENGUAPAN</t>
  </si>
  <si>
    <t>: 08.00</t>
  </si>
  <si>
    <t>KABUPATEN</t>
  </si>
  <si>
    <t>:  Sumba Timur</t>
  </si>
  <si>
    <t>TIAP PAGI JAM</t>
  </si>
  <si>
    <t>PROPINSI</t>
  </si>
  <si>
    <t>:  Nusa Tenggara Timur</t>
  </si>
  <si>
    <t>JIKA TAK ADA HUJAN</t>
  </si>
  <si>
    <t>: 0</t>
  </si>
  <si>
    <t>KOLOM HUJAN DIISI  :</t>
  </si>
  <si>
    <t>Tanggal Pengukuran</t>
  </si>
  <si>
    <t>Beda tinggi H dalam mm</t>
  </si>
  <si>
    <t>Hujan P dalam mm</t>
  </si>
  <si>
    <t>Penguapan  E = P + H dalam mm</t>
  </si>
  <si>
    <t>Jam</t>
  </si>
  <si>
    <t>Kecep. Angin (KM)</t>
  </si>
  <si>
    <t>Suhu Air (oC)</t>
  </si>
  <si>
    <t>08.00</t>
  </si>
  <si>
    <t>-</t>
  </si>
  <si>
    <t>Jumlah</t>
  </si>
  <si>
    <t xml:space="preserve">Jumlah     </t>
  </si>
  <si>
    <t xml:space="preserve">:  </t>
  </si>
  <si>
    <t xml:space="preserve">Hujan Sebulan                                                </t>
  </si>
  <si>
    <t xml:space="preserve">Penguapan Sebulan </t>
  </si>
  <si>
    <t>H = Beda pembacaan tinggi air bejana 1 hari sebelumnya</t>
  </si>
  <si>
    <t>H = Positif jika pembacaan lebih kecil dari pembacaan 1 hari</t>
  </si>
  <si>
    <t xml:space="preserve">Banyaknya hari hujan           </t>
  </si>
  <si>
    <t xml:space="preserve">      dengan hari waktu pengamatan.</t>
  </si>
  <si>
    <t xml:space="preserve">      sebelumnya.</t>
  </si>
  <si>
    <t>Banyaknya hari tanpa hujan</t>
  </si>
  <si>
    <t>H = Negatif jika pembacaan lebih besar dari pembacaan</t>
  </si>
  <si>
    <t>P = Banyaknya hujan selama 1 hari dalam mm.</t>
  </si>
  <si>
    <t>Hari tanpa hujan terpanjang</t>
  </si>
  <si>
    <t xml:space="preserve">      1 hari sebelumnya.</t>
  </si>
  <si>
    <t>//// = Air dalam panci penguapan meluap karena hujan sedang - lebat</t>
  </si>
</sst>
</file>

<file path=xl/styles.xml><?xml version="1.0" encoding="utf-8"?>
<styleSheet xmlns="http://schemas.openxmlformats.org/spreadsheetml/2006/main">
  <numFmts count="5">
    <numFmt numFmtId="176" formatCode="_(* #,##0_);_(* \(#,##0\);_(* &quot;-&quot;_);_(@_)"/>
    <numFmt numFmtId="177" formatCode="_-&quot;Rp&quot;* #,##0_-;\-&quot;Rp&quot;* #,##0_-;_-&quot;Rp&quot;* &quot;-&quot;??_-;_-@_-"/>
    <numFmt numFmtId="178" formatCode="_(* #,##0.00_);_(* \(#,##0.00\);_(* &quot;-&quot;??_);_(@_)"/>
    <numFmt numFmtId="179" formatCode="_-&quot;Rp&quot;* #,##0.00_-;\-&quot;Rp&quot;* #,##0.00_-;_-&quot;Rp&quot;* &quot;-&quot;??_-;_-@_-"/>
    <numFmt numFmtId="180" formatCode="0.0"/>
  </numFmts>
  <fonts count="25">
    <font>
      <sz val="10"/>
      <name val="Arial"/>
      <charset val="134"/>
    </font>
    <font>
      <sz val="8"/>
      <name val="Arial"/>
      <charset val="134"/>
    </font>
    <font>
      <b/>
      <sz val="8"/>
      <name val="Arial"/>
      <charset val="134"/>
    </font>
    <font>
      <b/>
      <sz val="9"/>
      <name val="Arial"/>
      <charset val="134"/>
    </font>
    <font>
      <sz val="8"/>
      <name val="Arial"/>
      <charset val="134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10" fillId="3" borderId="0" applyNumberFormat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0" borderId="0"/>
    <xf numFmtId="0" fontId="12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2" borderId="30" applyNumberFormat="0" applyAlignment="0" applyProtection="0">
      <alignment vertical="center"/>
    </xf>
    <xf numFmtId="0" fontId="18" fillId="0" borderId="29" applyNumberFormat="0" applyFill="0" applyAlignment="0" applyProtection="0">
      <alignment vertical="center"/>
    </xf>
    <xf numFmtId="0" fontId="6" fillId="16" borderId="32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29" applyNumberFormat="0" applyFill="0" applyAlignment="0" applyProtection="0">
      <alignment vertical="center"/>
    </xf>
    <xf numFmtId="0" fontId="5" fillId="0" borderId="28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15" borderId="31" applyNumberFormat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9" borderId="33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5" fillId="9" borderId="31" applyNumberFormat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3" fillId="0" borderId="35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</cellStyleXfs>
  <cellXfs count="47">
    <xf numFmtId="0" fontId="0" fillId="0" borderId="0" xfId="0"/>
    <xf numFmtId="0" fontId="1" fillId="0" borderId="0" xfId="8" applyFont="1" applyAlignment="1">
      <alignment horizontal="left"/>
    </xf>
    <xf numFmtId="0" fontId="1" fillId="0" borderId="0" xfId="8" applyFont="1" applyAlignment="1">
      <alignment horizontal="left" indent="1"/>
    </xf>
    <xf numFmtId="0" fontId="1" fillId="0" borderId="0" xfId="8" applyFont="1"/>
    <xf numFmtId="0" fontId="1" fillId="0" borderId="1" xfId="8" applyFont="1" applyBorder="1" applyAlignment="1">
      <alignment horizontal="center" vertical="center" wrapText="1"/>
    </xf>
    <xf numFmtId="0" fontId="1" fillId="0" borderId="2" xfId="8" applyFont="1" applyBorder="1" applyAlignment="1">
      <alignment horizontal="center" vertical="center" wrapText="1"/>
    </xf>
    <xf numFmtId="0" fontId="1" fillId="0" borderId="3" xfId="8" applyFont="1" applyBorder="1" applyAlignment="1">
      <alignment horizontal="center"/>
    </xf>
    <xf numFmtId="180" fontId="1" fillId="0" borderId="4" xfId="8" applyNumberFormat="1" applyFont="1" applyBorder="1" applyAlignment="1">
      <alignment horizontal="center"/>
    </xf>
    <xf numFmtId="180" fontId="1" fillId="0" borderId="5" xfId="8" applyNumberFormat="1" applyFont="1" applyBorder="1" applyAlignment="1">
      <alignment horizontal="center"/>
    </xf>
    <xf numFmtId="0" fontId="1" fillId="0" borderId="6" xfId="8" applyFont="1" applyBorder="1" applyAlignment="1">
      <alignment horizontal="center"/>
    </xf>
    <xf numFmtId="0" fontId="1" fillId="0" borderId="6" xfId="8" applyFont="1" applyBorder="1"/>
    <xf numFmtId="0" fontId="1" fillId="0" borderId="7" xfId="8" applyFont="1" applyBorder="1"/>
    <xf numFmtId="0" fontId="1" fillId="0" borderId="8" xfId="8" applyFont="1" applyBorder="1"/>
    <xf numFmtId="0" fontId="1" fillId="0" borderId="9" xfId="8" applyFont="1" applyBorder="1"/>
    <xf numFmtId="0" fontId="1" fillId="0" borderId="10" xfId="8" applyFont="1" applyBorder="1"/>
    <xf numFmtId="0" fontId="1" fillId="0" borderId="11" xfId="8" applyFont="1" applyBorder="1"/>
    <xf numFmtId="0" fontId="2" fillId="0" borderId="12" xfId="8" applyFont="1" applyBorder="1" applyAlignment="1">
      <alignment horizontal="left" vertical="center" indent="1"/>
    </xf>
    <xf numFmtId="180" fontId="2" fillId="0" borderId="13" xfId="8" applyNumberFormat="1" applyFont="1" applyBorder="1" applyAlignment="1">
      <alignment horizontal="center"/>
    </xf>
    <xf numFmtId="0" fontId="1" fillId="0" borderId="12" xfId="8" applyFont="1" applyBorder="1"/>
    <xf numFmtId="180" fontId="3" fillId="0" borderId="0" xfId="8" applyNumberFormat="1" applyFont="1" applyAlignment="1">
      <alignment horizontal="center"/>
    </xf>
    <xf numFmtId="0" fontId="1" fillId="0" borderId="0" xfId="8" applyFont="1" applyAlignment="1">
      <alignment horizontal="right" indent="1"/>
    </xf>
    <xf numFmtId="180" fontId="2" fillId="0" borderId="0" xfId="8" applyNumberFormat="1" applyFont="1" applyAlignment="1">
      <alignment horizontal="left"/>
    </xf>
    <xf numFmtId="0" fontId="1" fillId="0" borderId="0" xfId="8" applyFont="1" applyAlignment="1">
      <alignment horizontal="right"/>
    </xf>
    <xf numFmtId="0" fontId="2" fillId="0" borderId="0" xfId="8" applyFont="1" applyAlignment="1">
      <alignment horizontal="left"/>
    </xf>
    <xf numFmtId="0" fontId="1" fillId="0" borderId="0" xfId="8" applyFont="1" applyAlignment="1">
      <alignment horizontal="left" vertical="center" indent="1"/>
    </xf>
    <xf numFmtId="0" fontId="1" fillId="0" borderId="0" xfId="8" applyFont="1" applyAlignment="1">
      <alignment horizontal="left" vertical="center"/>
    </xf>
    <xf numFmtId="0" fontId="4" fillId="0" borderId="0" xfId="8" applyFont="1" applyAlignment="1">
      <alignment horizontal="left" vertical="center" indent="1"/>
    </xf>
    <xf numFmtId="0" fontId="1" fillId="0" borderId="0" xfId="8" applyFont="1" applyAlignment="1">
      <alignment horizontal="center" vertical="center"/>
    </xf>
    <xf numFmtId="0" fontId="0" fillId="0" borderId="0" xfId="8"/>
    <xf numFmtId="0" fontId="1" fillId="0" borderId="14" xfId="8" applyFont="1" applyBorder="1" applyAlignment="1">
      <alignment horizontal="center"/>
    </xf>
    <xf numFmtId="180" fontId="1" fillId="0" borderId="15" xfId="8" applyNumberFormat="1" applyFont="1" applyBorder="1" applyAlignment="1">
      <alignment horizontal="center"/>
    </xf>
    <xf numFmtId="0" fontId="1" fillId="0" borderId="16" xfId="8" applyFont="1" applyBorder="1" applyAlignment="1">
      <alignment horizontal="center"/>
    </xf>
    <xf numFmtId="0" fontId="1" fillId="0" borderId="17" xfId="8" applyFont="1" applyBorder="1" applyAlignment="1">
      <alignment horizontal="center"/>
    </xf>
    <xf numFmtId="0" fontId="1" fillId="0" borderId="18" xfId="8" applyFont="1" applyBorder="1" applyAlignment="1">
      <alignment horizontal="center"/>
    </xf>
    <xf numFmtId="180" fontId="1" fillId="0" borderId="8" xfId="8" applyNumberFormat="1" applyFont="1" applyBorder="1" applyAlignment="1">
      <alignment horizontal="center"/>
    </xf>
    <xf numFmtId="180" fontId="1" fillId="0" borderId="19" xfId="8" applyNumberFormat="1" applyFont="1" applyBorder="1" applyAlignment="1">
      <alignment horizontal="center"/>
    </xf>
    <xf numFmtId="0" fontId="1" fillId="0" borderId="17" xfId="8" applyFont="1" applyBorder="1"/>
    <xf numFmtId="0" fontId="1" fillId="0" borderId="15" xfId="8" applyFont="1" applyBorder="1"/>
    <xf numFmtId="0" fontId="1" fillId="0" borderId="20" xfId="8" applyFont="1" applyBorder="1"/>
    <xf numFmtId="0" fontId="1" fillId="0" borderId="21" xfId="8" applyFont="1" applyBorder="1"/>
    <xf numFmtId="0" fontId="1" fillId="0" borderId="22" xfId="8" applyFont="1" applyBorder="1"/>
    <xf numFmtId="0" fontId="1" fillId="0" borderId="23" xfId="8" applyFont="1" applyBorder="1"/>
    <xf numFmtId="0" fontId="1" fillId="0" borderId="24" xfId="8" applyFont="1" applyBorder="1"/>
    <xf numFmtId="0" fontId="1" fillId="0" borderId="25" xfId="8" applyFont="1" applyBorder="1"/>
    <xf numFmtId="0" fontId="1" fillId="0" borderId="26" xfId="8" applyFont="1" applyBorder="1"/>
    <xf numFmtId="0" fontId="1" fillId="0" borderId="27" xfId="8" applyFont="1" applyBorder="1"/>
    <xf numFmtId="180" fontId="0" fillId="0" borderId="0" xfId="0" applyNumberFormat="1"/>
    <xf numFmtId="0" fontId="1" fillId="0" borderId="3" xfId="8" applyFont="1" applyBorder="1" applyAlignment="1" quotePrefix="1">
      <alignment horizontal="center"/>
    </xf>
    <xf numFmtId="0" fontId="1" fillId="0" borderId="0" xfId="8" applyFont="1" applyAlignment="1" quotePrefix="1">
      <alignment horizontal="left" indent="1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_Sheet1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V41"/>
  <sheetViews>
    <sheetView tabSelected="1" view="pageBreakPreview" zoomScaleNormal="100" workbookViewId="0">
      <selection activeCell="G11" sqref="G11:H26"/>
    </sheetView>
  </sheetViews>
  <sheetFormatPr defaultColWidth="9.14285714285714" defaultRowHeight="12.75"/>
  <cols>
    <col min="1" max="1" width="11.2857142857143" customWidth="1"/>
    <col min="4" max="4" width="10.5714285714286" customWidth="1"/>
    <col min="5" max="5" width="5.85714285714286" customWidth="1"/>
    <col min="6" max="6" width="11.4285714285714" customWidth="1"/>
    <col min="9" max="9" width="10.5714285714286" customWidth="1"/>
    <col min="10" max="10" width="6.42857142857143" customWidth="1"/>
    <col min="11" max="11" width="11.4285714285714" customWidth="1"/>
    <col min="12" max="12" width="7.85714285714286" customWidth="1"/>
    <col min="15" max="15" width="7.85714285714286" customWidth="1"/>
    <col min="19" max="19" width="12.8571428571429" customWidth="1"/>
    <col min="22" max="22" width="53" customWidth="1"/>
  </cols>
  <sheetData>
    <row r="1" spans="22:22">
      <c r="V1" t="s">
        <v>0</v>
      </c>
    </row>
    <row r="2" spans="1:16">
      <c r="A2" s="1" t="s">
        <v>1</v>
      </c>
      <c r="B2" s="1"/>
      <c r="C2" s="1"/>
      <c r="D2" s="1"/>
      <c r="E2" s="1" t="s">
        <v>2</v>
      </c>
      <c r="F2" s="2"/>
      <c r="G2" s="2" t="s">
        <v>3</v>
      </c>
      <c r="H2" s="2"/>
      <c r="I2" s="2"/>
      <c r="J2" s="24" t="s">
        <v>4</v>
      </c>
      <c r="K2" s="2"/>
      <c r="L2" s="2"/>
      <c r="M2" s="25" t="s">
        <v>5</v>
      </c>
      <c r="N2" s="2"/>
      <c r="O2" s="2"/>
      <c r="P2" s="2"/>
    </row>
    <row r="3" spans="1:16">
      <c r="A3" s="3"/>
      <c r="B3" s="3"/>
      <c r="C3" s="3"/>
      <c r="D3" s="3"/>
      <c r="E3" s="1" t="s">
        <v>6</v>
      </c>
      <c r="F3" s="2"/>
      <c r="G3" s="2"/>
      <c r="H3" s="2"/>
      <c r="I3" s="2"/>
      <c r="J3" s="24" t="s">
        <v>7</v>
      </c>
      <c r="K3" s="2"/>
      <c r="L3" s="2"/>
      <c r="M3" s="25" t="s">
        <v>8</v>
      </c>
      <c r="N3" s="2"/>
      <c r="O3" s="2"/>
      <c r="P3" s="2"/>
    </row>
    <row r="4" spans="1:16">
      <c r="A4" s="3"/>
      <c r="B4" s="3"/>
      <c r="C4" s="3"/>
      <c r="D4" s="3"/>
      <c r="E4" s="1" t="s">
        <v>9</v>
      </c>
      <c r="F4" s="2"/>
      <c r="G4" s="2" t="s">
        <v>10</v>
      </c>
      <c r="H4" s="2"/>
      <c r="I4" s="2"/>
      <c r="J4" s="2"/>
      <c r="K4" s="2"/>
      <c r="L4" s="2"/>
      <c r="M4" s="1"/>
      <c r="N4" s="2"/>
      <c r="O4" s="2"/>
      <c r="P4" s="2"/>
    </row>
    <row r="5" customHeight="1" spans="1:16">
      <c r="A5" s="3"/>
      <c r="B5" s="3"/>
      <c r="C5" s="3"/>
      <c r="D5" s="3"/>
      <c r="E5" s="1" t="s">
        <v>11</v>
      </c>
      <c r="F5" s="2"/>
      <c r="G5" s="2" t="s">
        <v>12</v>
      </c>
      <c r="H5" s="2"/>
      <c r="I5" s="2"/>
      <c r="J5" s="26" t="s">
        <v>13</v>
      </c>
      <c r="K5" s="27"/>
      <c r="L5" s="27"/>
      <c r="M5" s="25" t="s">
        <v>14</v>
      </c>
      <c r="N5" s="25"/>
      <c r="O5" s="2"/>
      <c r="P5" s="2"/>
    </row>
    <row r="6" spans="1:16">
      <c r="A6" s="3"/>
      <c r="B6" s="3"/>
      <c r="C6" s="3"/>
      <c r="D6" s="3"/>
      <c r="E6" s="1" t="s">
        <v>15</v>
      </c>
      <c r="F6" s="2"/>
      <c r="G6" s="2" t="s">
        <v>16</v>
      </c>
      <c r="H6" s="2"/>
      <c r="I6" s="2"/>
      <c r="J6" s="26" t="s">
        <v>17</v>
      </c>
      <c r="K6" s="27"/>
      <c r="L6" s="27"/>
      <c r="M6" s="25"/>
      <c r="N6" s="25"/>
      <c r="O6" s="2"/>
      <c r="P6" s="2"/>
    </row>
    <row r="7" spans="1:16">
      <c r="A7" s="3"/>
      <c r="B7" s="3"/>
      <c r="C7" s="3"/>
      <c r="D7" s="3"/>
      <c r="E7" s="1" t="s">
        <v>18</v>
      </c>
      <c r="F7" s="2"/>
      <c r="G7" s="2" t="s">
        <v>19</v>
      </c>
      <c r="H7" s="2"/>
      <c r="I7" s="2"/>
      <c r="J7" s="26" t="s">
        <v>20</v>
      </c>
      <c r="K7" s="28"/>
      <c r="L7" s="2"/>
      <c r="M7" s="25" t="s">
        <v>21</v>
      </c>
      <c r="N7" s="25"/>
      <c r="O7" s="2"/>
      <c r="P7" s="2"/>
    </row>
    <row r="8" spans="1:16">
      <c r="A8" s="3"/>
      <c r="B8" s="3"/>
      <c r="C8" s="3"/>
      <c r="D8" s="3"/>
      <c r="E8" s="3"/>
      <c r="F8" s="3"/>
      <c r="G8" s="3"/>
      <c r="H8" s="3"/>
      <c r="I8" s="3"/>
      <c r="J8" s="26" t="s">
        <v>22</v>
      </c>
      <c r="K8" s="3"/>
      <c r="L8" s="3"/>
      <c r="M8" s="25"/>
      <c r="N8" s="3"/>
      <c r="O8" s="3"/>
      <c r="P8" s="3"/>
    </row>
    <row r="9" ht="13.5" customHeight="1" spans="1:1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ht="35.25" customHeight="1" spans="1:16">
      <c r="A10" s="4" t="s">
        <v>23</v>
      </c>
      <c r="B10" s="4" t="s">
        <v>24</v>
      </c>
      <c r="C10" s="4" t="s">
        <v>25</v>
      </c>
      <c r="D10" s="4" t="s">
        <v>26</v>
      </c>
      <c r="E10" s="5" t="s">
        <v>27</v>
      </c>
      <c r="F10" s="4" t="s">
        <v>23</v>
      </c>
      <c r="G10" s="4" t="s">
        <v>24</v>
      </c>
      <c r="H10" s="4" t="s">
        <v>25</v>
      </c>
      <c r="I10" s="4" t="s">
        <v>26</v>
      </c>
      <c r="J10" s="5" t="s">
        <v>27</v>
      </c>
      <c r="K10" s="4" t="s">
        <v>23</v>
      </c>
      <c r="L10" s="4" t="s">
        <v>28</v>
      </c>
      <c r="M10" s="4" t="s">
        <v>29</v>
      </c>
      <c r="N10" s="4" t="s">
        <v>23</v>
      </c>
      <c r="O10" s="4" t="s">
        <v>28</v>
      </c>
      <c r="P10" s="4" t="s">
        <v>29</v>
      </c>
    </row>
    <row r="11" spans="1:22">
      <c r="A11" s="6">
        <v>1</v>
      </c>
      <c r="B11" s="7">
        <v>0</v>
      </c>
      <c r="C11" s="7">
        <v>0</v>
      </c>
      <c r="D11" s="8">
        <f t="shared" ref="D11:D25" si="0">IF(OR(B11=8888,B11=9999,B11="-",C11=8888,C11=9999,C11="-"),"0,0",IF(OR(C11="TTU",C11=""),B11,B11+C11))</f>
        <v>0</v>
      </c>
      <c r="E11" s="47" t="s">
        <v>30</v>
      </c>
      <c r="F11" s="6">
        <v>16</v>
      </c>
      <c r="G11" s="7">
        <v>0</v>
      </c>
      <c r="H11" s="7">
        <v>0</v>
      </c>
      <c r="I11" s="8">
        <f t="shared" ref="I11:I26" si="1">IF(OR(G11=8888,G11=9999,G11="-",H11=8888,H11=9999,H11="-"),"0,0",IF(OR(H11="TTU",H11=""),G11,G11+H11))</f>
        <v>0</v>
      </c>
      <c r="J11" s="6" t="s">
        <v>30</v>
      </c>
      <c r="K11" s="29">
        <v>1</v>
      </c>
      <c r="L11" s="8">
        <v>0</v>
      </c>
      <c r="M11" s="30" t="s">
        <v>31</v>
      </c>
      <c r="N11" s="31">
        <v>16</v>
      </c>
      <c r="O11" s="8">
        <v>0</v>
      </c>
      <c r="P11" s="8" t="s">
        <v>31</v>
      </c>
      <c r="V11">
        <f>IF(OR(C11&gt;=1,C11="TTU"),0,1)</f>
        <v>1</v>
      </c>
    </row>
    <row r="12" spans="1:22">
      <c r="A12" s="9">
        <v>2</v>
      </c>
      <c r="B12" s="7">
        <v>0</v>
      </c>
      <c r="C12" s="7">
        <v>0</v>
      </c>
      <c r="D12" s="8">
        <f t="shared" si="0"/>
        <v>0</v>
      </c>
      <c r="E12" s="6" t="s">
        <v>30</v>
      </c>
      <c r="F12" s="9">
        <v>17</v>
      </c>
      <c r="G12" s="7">
        <v>0</v>
      </c>
      <c r="H12" s="7">
        <v>0</v>
      </c>
      <c r="I12" s="8">
        <f t="shared" si="1"/>
        <v>0</v>
      </c>
      <c r="J12" s="6" t="s">
        <v>30</v>
      </c>
      <c r="K12" s="32">
        <v>2</v>
      </c>
      <c r="L12" s="8">
        <v>0</v>
      </c>
      <c r="M12" s="30" t="s">
        <v>31</v>
      </c>
      <c r="N12" s="33">
        <v>17</v>
      </c>
      <c r="O12" s="8">
        <v>0</v>
      </c>
      <c r="P12" s="34" t="s">
        <v>31</v>
      </c>
      <c r="V12">
        <f t="shared" ref="V12:V25" si="2">IF(OR(C12&gt;=1,C12="TTU"),0,V11+1)</f>
        <v>2</v>
      </c>
    </row>
    <row r="13" spans="1:22">
      <c r="A13" s="9">
        <v>3</v>
      </c>
      <c r="B13" s="7">
        <v>0</v>
      </c>
      <c r="C13" s="7">
        <v>0</v>
      </c>
      <c r="D13" s="8">
        <f t="shared" si="0"/>
        <v>0</v>
      </c>
      <c r="E13" s="6" t="s">
        <v>30</v>
      </c>
      <c r="F13" s="9">
        <v>18</v>
      </c>
      <c r="G13" s="7">
        <v>0</v>
      </c>
      <c r="H13" s="7">
        <v>0</v>
      </c>
      <c r="I13" s="8">
        <f t="shared" si="1"/>
        <v>0</v>
      </c>
      <c r="J13" s="6" t="s">
        <v>30</v>
      </c>
      <c r="K13" s="32">
        <v>3</v>
      </c>
      <c r="L13" s="8">
        <v>0</v>
      </c>
      <c r="M13" s="30" t="s">
        <v>31</v>
      </c>
      <c r="N13" s="33">
        <v>18</v>
      </c>
      <c r="O13" s="8">
        <v>0</v>
      </c>
      <c r="P13" s="34" t="s">
        <v>31</v>
      </c>
      <c r="V13">
        <f t="shared" si="2"/>
        <v>3</v>
      </c>
    </row>
    <row r="14" spans="1:22">
      <c r="A14" s="9">
        <v>4</v>
      </c>
      <c r="B14" s="7">
        <v>0</v>
      </c>
      <c r="C14" s="7">
        <v>0</v>
      </c>
      <c r="D14" s="8">
        <f t="shared" si="0"/>
        <v>0</v>
      </c>
      <c r="E14" s="6" t="s">
        <v>30</v>
      </c>
      <c r="F14" s="9">
        <v>19</v>
      </c>
      <c r="G14" s="7">
        <v>0</v>
      </c>
      <c r="H14" s="7">
        <v>0</v>
      </c>
      <c r="I14" s="8">
        <f t="shared" si="1"/>
        <v>0</v>
      </c>
      <c r="J14" s="6" t="s">
        <v>30</v>
      </c>
      <c r="K14" s="32">
        <v>4</v>
      </c>
      <c r="L14" s="8">
        <v>0</v>
      </c>
      <c r="M14" s="30" t="s">
        <v>31</v>
      </c>
      <c r="N14" s="33">
        <v>19</v>
      </c>
      <c r="O14" s="8">
        <v>0</v>
      </c>
      <c r="P14" s="34" t="s">
        <v>31</v>
      </c>
      <c r="U14" s="46"/>
      <c r="V14">
        <f t="shared" si="2"/>
        <v>4</v>
      </c>
    </row>
    <row r="15" spans="1:22">
      <c r="A15" s="9">
        <v>5</v>
      </c>
      <c r="B15" s="7">
        <v>0</v>
      </c>
      <c r="C15" s="7">
        <v>0</v>
      </c>
      <c r="D15" s="8">
        <f t="shared" si="0"/>
        <v>0</v>
      </c>
      <c r="E15" s="6" t="s">
        <v>30</v>
      </c>
      <c r="F15" s="9">
        <v>20</v>
      </c>
      <c r="G15" s="7">
        <v>0</v>
      </c>
      <c r="H15" s="7">
        <v>0</v>
      </c>
      <c r="I15" s="8">
        <f t="shared" si="1"/>
        <v>0</v>
      </c>
      <c r="J15" s="47" t="s">
        <v>30</v>
      </c>
      <c r="K15" s="32">
        <v>5</v>
      </c>
      <c r="L15" s="8">
        <v>0</v>
      </c>
      <c r="M15" s="30" t="s">
        <v>31</v>
      </c>
      <c r="N15" s="33">
        <v>20</v>
      </c>
      <c r="O15" s="8">
        <v>0</v>
      </c>
      <c r="P15" s="34" t="s">
        <v>31</v>
      </c>
      <c r="U15" s="46"/>
      <c r="V15">
        <f t="shared" si="2"/>
        <v>5</v>
      </c>
    </row>
    <row r="16" spans="1:22">
      <c r="A16" s="9">
        <v>6</v>
      </c>
      <c r="B16" s="7">
        <v>0</v>
      </c>
      <c r="C16" s="7">
        <v>0</v>
      </c>
      <c r="D16" s="8">
        <f t="shared" si="0"/>
        <v>0</v>
      </c>
      <c r="E16" s="6" t="s">
        <v>30</v>
      </c>
      <c r="F16" s="9">
        <v>21</v>
      </c>
      <c r="G16" s="7">
        <v>0</v>
      </c>
      <c r="H16" s="7">
        <v>0</v>
      </c>
      <c r="I16" s="8">
        <f t="shared" si="1"/>
        <v>0</v>
      </c>
      <c r="J16" s="6" t="s">
        <v>30</v>
      </c>
      <c r="K16" s="32">
        <v>6</v>
      </c>
      <c r="L16" s="8">
        <v>0</v>
      </c>
      <c r="M16" s="30" t="s">
        <v>31</v>
      </c>
      <c r="N16" s="33">
        <v>21</v>
      </c>
      <c r="O16" s="8">
        <v>0</v>
      </c>
      <c r="P16" s="34" t="s">
        <v>31</v>
      </c>
      <c r="U16" s="46"/>
      <c r="V16">
        <f t="shared" si="2"/>
        <v>6</v>
      </c>
    </row>
    <row r="17" spans="1:22">
      <c r="A17" s="9">
        <v>7</v>
      </c>
      <c r="B17" s="7">
        <v>0</v>
      </c>
      <c r="C17" s="7">
        <v>0</v>
      </c>
      <c r="D17" s="8">
        <f t="shared" si="0"/>
        <v>0</v>
      </c>
      <c r="E17" s="6" t="s">
        <v>30</v>
      </c>
      <c r="F17" s="9">
        <v>22</v>
      </c>
      <c r="G17" s="7">
        <v>0</v>
      </c>
      <c r="H17" s="7">
        <v>0</v>
      </c>
      <c r="I17" s="8">
        <f t="shared" si="1"/>
        <v>0</v>
      </c>
      <c r="J17" s="6" t="s">
        <v>30</v>
      </c>
      <c r="K17" s="32">
        <v>7</v>
      </c>
      <c r="L17" s="8">
        <v>0</v>
      </c>
      <c r="M17" s="30" t="s">
        <v>31</v>
      </c>
      <c r="N17" s="33">
        <v>22</v>
      </c>
      <c r="O17" s="8">
        <v>0</v>
      </c>
      <c r="P17" s="34" t="s">
        <v>31</v>
      </c>
      <c r="U17" s="46"/>
      <c r="V17">
        <f t="shared" si="2"/>
        <v>7</v>
      </c>
    </row>
    <row r="18" spans="1:22">
      <c r="A18" s="9">
        <v>8</v>
      </c>
      <c r="B18" s="7">
        <v>0</v>
      </c>
      <c r="C18" s="7">
        <v>0</v>
      </c>
      <c r="D18" s="8">
        <f t="shared" si="0"/>
        <v>0</v>
      </c>
      <c r="E18" s="6" t="s">
        <v>30</v>
      </c>
      <c r="F18" s="9">
        <v>23</v>
      </c>
      <c r="G18" s="7">
        <v>0</v>
      </c>
      <c r="H18" s="7">
        <v>0</v>
      </c>
      <c r="I18" s="8">
        <f t="shared" si="1"/>
        <v>0</v>
      </c>
      <c r="J18" s="6" t="s">
        <v>30</v>
      </c>
      <c r="K18" s="32">
        <v>8</v>
      </c>
      <c r="L18" s="8">
        <v>0</v>
      </c>
      <c r="M18" s="30" t="s">
        <v>31</v>
      </c>
      <c r="N18" s="33">
        <v>23</v>
      </c>
      <c r="O18" s="8">
        <v>0</v>
      </c>
      <c r="P18" s="34" t="s">
        <v>31</v>
      </c>
      <c r="V18">
        <f t="shared" si="2"/>
        <v>8</v>
      </c>
    </row>
    <row r="19" spans="1:22">
      <c r="A19" s="9">
        <v>9</v>
      </c>
      <c r="B19" s="7">
        <v>0</v>
      </c>
      <c r="C19" s="7">
        <v>0</v>
      </c>
      <c r="D19" s="8">
        <f t="shared" si="0"/>
        <v>0</v>
      </c>
      <c r="E19" s="6" t="s">
        <v>30</v>
      </c>
      <c r="F19" s="9">
        <v>24</v>
      </c>
      <c r="G19" s="7">
        <v>0</v>
      </c>
      <c r="H19" s="7">
        <v>0</v>
      </c>
      <c r="I19" s="8">
        <f t="shared" si="1"/>
        <v>0</v>
      </c>
      <c r="J19" s="6" t="s">
        <v>30</v>
      </c>
      <c r="K19" s="32">
        <v>9</v>
      </c>
      <c r="L19" s="8">
        <v>0</v>
      </c>
      <c r="M19" s="30" t="s">
        <v>31</v>
      </c>
      <c r="N19" s="33">
        <v>24</v>
      </c>
      <c r="O19" s="8">
        <v>0</v>
      </c>
      <c r="P19" s="34" t="s">
        <v>31</v>
      </c>
      <c r="V19">
        <f t="shared" si="2"/>
        <v>9</v>
      </c>
    </row>
    <row r="20" spans="1:22">
      <c r="A20" s="9">
        <v>10</v>
      </c>
      <c r="B20" s="7">
        <v>0</v>
      </c>
      <c r="C20" s="7">
        <v>0</v>
      </c>
      <c r="D20" s="8">
        <f t="shared" si="0"/>
        <v>0</v>
      </c>
      <c r="E20" s="6" t="s">
        <v>30</v>
      </c>
      <c r="F20" s="9">
        <v>25</v>
      </c>
      <c r="G20" s="7">
        <v>0</v>
      </c>
      <c r="H20" s="7">
        <v>0</v>
      </c>
      <c r="I20" s="8">
        <f t="shared" si="1"/>
        <v>0</v>
      </c>
      <c r="J20" s="6" t="s">
        <v>30</v>
      </c>
      <c r="K20" s="32">
        <v>10</v>
      </c>
      <c r="L20" s="8">
        <v>0</v>
      </c>
      <c r="M20" s="30" t="s">
        <v>31</v>
      </c>
      <c r="N20" s="33">
        <v>25</v>
      </c>
      <c r="O20" s="8">
        <v>0</v>
      </c>
      <c r="P20" s="34" t="s">
        <v>31</v>
      </c>
      <c r="V20">
        <f t="shared" si="2"/>
        <v>10</v>
      </c>
    </row>
    <row r="21" spans="1:22">
      <c r="A21" s="9">
        <v>11</v>
      </c>
      <c r="B21" s="7">
        <v>0</v>
      </c>
      <c r="C21" s="7">
        <v>0</v>
      </c>
      <c r="D21" s="8">
        <f t="shared" si="0"/>
        <v>0</v>
      </c>
      <c r="E21" s="6" t="s">
        <v>30</v>
      </c>
      <c r="F21" s="9">
        <v>26</v>
      </c>
      <c r="G21" s="7">
        <v>0</v>
      </c>
      <c r="H21" s="7">
        <v>0</v>
      </c>
      <c r="I21" s="8">
        <f t="shared" si="1"/>
        <v>0</v>
      </c>
      <c r="J21" s="6" t="s">
        <v>30</v>
      </c>
      <c r="K21" s="32">
        <v>11</v>
      </c>
      <c r="L21" s="8">
        <v>0</v>
      </c>
      <c r="M21" s="30" t="s">
        <v>31</v>
      </c>
      <c r="N21" s="33">
        <v>26</v>
      </c>
      <c r="O21" s="8">
        <v>0</v>
      </c>
      <c r="P21" s="34" t="s">
        <v>31</v>
      </c>
      <c r="V21">
        <f t="shared" si="2"/>
        <v>11</v>
      </c>
    </row>
    <row r="22" spans="1:22">
      <c r="A22" s="9">
        <v>12</v>
      </c>
      <c r="B22" s="7">
        <v>0</v>
      </c>
      <c r="C22" s="7">
        <v>0</v>
      </c>
      <c r="D22" s="8">
        <f t="shared" si="0"/>
        <v>0</v>
      </c>
      <c r="E22" s="6" t="s">
        <v>30</v>
      </c>
      <c r="F22" s="9">
        <v>27</v>
      </c>
      <c r="G22" s="7">
        <v>0</v>
      </c>
      <c r="H22" s="7">
        <v>0</v>
      </c>
      <c r="I22" s="8">
        <f t="shared" si="1"/>
        <v>0</v>
      </c>
      <c r="J22" s="6" t="s">
        <v>30</v>
      </c>
      <c r="K22" s="32">
        <v>12</v>
      </c>
      <c r="L22" s="8">
        <v>0</v>
      </c>
      <c r="M22" s="30" t="s">
        <v>31</v>
      </c>
      <c r="N22" s="33">
        <v>27</v>
      </c>
      <c r="O22" s="8">
        <v>0</v>
      </c>
      <c r="P22" s="34" t="s">
        <v>31</v>
      </c>
      <c r="V22">
        <f t="shared" si="2"/>
        <v>12</v>
      </c>
    </row>
    <row r="23" spans="1:22">
      <c r="A23" s="9">
        <v>13</v>
      </c>
      <c r="B23" s="7">
        <v>0</v>
      </c>
      <c r="C23" s="7">
        <v>0</v>
      </c>
      <c r="D23" s="8">
        <f t="shared" si="0"/>
        <v>0</v>
      </c>
      <c r="E23" s="6" t="s">
        <v>30</v>
      </c>
      <c r="F23" s="9">
        <v>28</v>
      </c>
      <c r="G23" s="7">
        <v>0</v>
      </c>
      <c r="H23" s="7">
        <v>0</v>
      </c>
      <c r="I23" s="8">
        <f t="shared" si="1"/>
        <v>0</v>
      </c>
      <c r="J23" s="6" t="s">
        <v>30</v>
      </c>
      <c r="K23" s="32">
        <v>13</v>
      </c>
      <c r="L23" s="8">
        <v>0</v>
      </c>
      <c r="M23" s="30" t="s">
        <v>31</v>
      </c>
      <c r="N23" s="33">
        <v>28</v>
      </c>
      <c r="O23" s="8">
        <v>0</v>
      </c>
      <c r="P23" s="35" t="s">
        <v>31</v>
      </c>
      <c r="V23">
        <f t="shared" si="2"/>
        <v>13</v>
      </c>
    </row>
    <row r="24" spans="1:22">
      <c r="A24" s="9">
        <v>14</v>
      </c>
      <c r="B24" s="7">
        <v>0</v>
      </c>
      <c r="C24" s="7">
        <v>0</v>
      </c>
      <c r="D24" s="8">
        <f t="shared" si="0"/>
        <v>0</v>
      </c>
      <c r="E24" s="6" t="s">
        <v>30</v>
      </c>
      <c r="F24" s="9">
        <v>29</v>
      </c>
      <c r="G24" s="7">
        <v>0</v>
      </c>
      <c r="H24" s="7">
        <v>0</v>
      </c>
      <c r="I24" s="8">
        <f t="shared" si="1"/>
        <v>0</v>
      </c>
      <c r="J24" s="6" t="s">
        <v>30</v>
      </c>
      <c r="K24" s="32">
        <v>14</v>
      </c>
      <c r="L24" s="8">
        <v>0</v>
      </c>
      <c r="M24" s="30" t="s">
        <v>31</v>
      </c>
      <c r="N24" s="33">
        <v>29</v>
      </c>
      <c r="O24" s="8">
        <v>0</v>
      </c>
      <c r="P24" s="34" t="s">
        <v>31</v>
      </c>
      <c r="V24">
        <f t="shared" si="2"/>
        <v>14</v>
      </c>
    </row>
    <row r="25" spans="1:22">
      <c r="A25" s="9">
        <v>15</v>
      </c>
      <c r="B25" s="7">
        <v>0</v>
      </c>
      <c r="C25" s="7">
        <v>0</v>
      </c>
      <c r="D25" s="8">
        <f t="shared" si="0"/>
        <v>0</v>
      </c>
      <c r="E25" s="47" t="s">
        <v>30</v>
      </c>
      <c r="F25" s="9">
        <v>30</v>
      </c>
      <c r="G25" s="7">
        <v>0</v>
      </c>
      <c r="H25" s="7">
        <v>0</v>
      </c>
      <c r="I25" s="8">
        <f t="shared" si="1"/>
        <v>0</v>
      </c>
      <c r="J25" s="6" t="s">
        <v>30</v>
      </c>
      <c r="K25" s="32">
        <v>15</v>
      </c>
      <c r="L25" s="8">
        <v>0</v>
      </c>
      <c r="M25" s="30" t="s">
        <v>31</v>
      </c>
      <c r="N25" s="33">
        <v>30</v>
      </c>
      <c r="O25" s="8">
        <v>0</v>
      </c>
      <c r="P25" s="34" t="s">
        <v>31</v>
      </c>
      <c r="V25">
        <f t="shared" si="2"/>
        <v>15</v>
      </c>
    </row>
    <row r="26" spans="1:22">
      <c r="A26" s="10"/>
      <c r="B26" s="11"/>
      <c r="C26" s="12"/>
      <c r="D26" s="8"/>
      <c r="E26" s="10"/>
      <c r="F26" s="9">
        <v>31</v>
      </c>
      <c r="G26" s="7">
        <v>0</v>
      </c>
      <c r="H26" s="7">
        <v>0</v>
      </c>
      <c r="I26" s="8">
        <f t="shared" si="1"/>
        <v>0</v>
      </c>
      <c r="J26" s="6" t="s">
        <v>30</v>
      </c>
      <c r="K26" s="36"/>
      <c r="L26" s="11"/>
      <c r="M26" s="37"/>
      <c r="N26" s="33">
        <v>31</v>
      </c>
      <c r="O26" s="8">
        <v>0</v>
      </c>
      <c r="P26" s="34" t="s">
        <v>31</v>
      </c>
      <c r="V26">
        <f t="shared" ref="V26:V41" si="3">IF(OR(H11&gt;=1,H11="TTU"),0,V25+1)</f>
        <v>16</v>
      </c>
    </row>
    <row r="27" ht="13.5" customHeight="1" spans="1:22">
      <c r="A27" s="13"/>
      <c r="B27" s="14"/>
      <c r="C27" s="15"/>
      <c r="D27" s="15"/>
      <c r="E27" s="13"/>
      <c r="F27" s="13"/>
      <c r="G27" s="15"/>
      <c r="H27" s="15"/>
      <c r="I27" s="15"/>
      <c r="J27" s="13"/>
      <c r="K27" s="38"/>
      <c r="L27" s="14"/>
      <c r="M27" s="39"/>
      <c r="N27" s="40"/>
      <c r="O27" s="14"/>
      <c r="P27" s="15"/>
      <c r="V27">
        <f t="shared" si="3"/>
        <v>17</v>
      </c>
    </row>
    <row r="28" ht="13.5" spans="1:22">
      <c r="A28" s="16" t="s">
        <v>32</v>
      </c>
      <c r="B28" s="17">
        <f t="shared" ref="B28:I28" si="4">SUMIFS(B11:B26,B11:B26,"&lt;&gt;9999",B11:B26,"&lt;&gt;8888")</f>
        <v>0</v>
      </c>
      <c r="C28" s="17">
        <f t="shared" si="4"/>
        <v>0</v>
      </c>
      <c r="D28" s="17">
        <f t="shared" si="4"/>
        <v>0</v>
      </c>
      <c r="E28" s="18"/>
      <c r="F28" s="16" t="s">
        <v>32</v>
      </c>
      <c r="G28" s="17">
        <f t="shared" si="4"/>
        <v>0</v>
      </c>
      <c r="H28" s="17">
        <f t="shared" si="4"/>
        <v>0</v>
      </c>
      <c r="I28" s="17">
        <f t="shared" si="4"/>
        <v>0</v>
      </c>
      <c r="J28" s="18"/>
      <c r="K28" s="41"/>
      <c r="L28" s="42"/>
      <c r="M28" s="43"/>
      <c r="N28" s="44"/>
      <c r="O28" s="42"/>
      <c r="P28" s="45"/>
      <c r="V28">
        <f t="shared" si="3"/>
        <v>18</v>
      </c>
    </row>
    <row r="29" ht="13.5" spans="16:22">
      <c r="P29" s="2"/>
      <c r="V29">
        <f t="shared" si="3"/>
        <v>19</v>
      </c>
    </row>
    <row r="30" spans="1:22">
      <c r="A30" s="2" t="s">
        <v>33</v>
      </c>
      <c r="B30" s="3" t="s">
        <v>34</v>
      </c>
      <c r="C30" s="2"/>
      <c r="P30" s="2"/>
      <c r="V30">
        <f t="shared" si="3"/>
        <v>20</v>
      </c>
    </row>
    <row r="31" spans="1:22">
      <c r="A31" s="2" t="s">
        <v>35</v>
      </c>
      <c r="B31" s="19"/>
      <c r="C31" s="20"/>
      <c r="D31" s="21">
        <f>C28+H28</f>
        <v>0</v>
      </c>
      <c r="E31" s="2"/>
      <c r="V31">
        <f t="shared" si="3"/>
        <v>21</v>
      </c>
    </row>
    <row r="32" spans="1:22">
      <c r="A32" s="2" t="s">
        <v>36</v>
      </c>
      <c r="B32" s="2"/>
      <c r="C32" s="22"/>
      <c r="D32" s="21">
        <f>D28+I28</f>
        <v>0</v>
      </c>
      <c r="E32" s="2"/>
      <c r="F32" s="2" t="s">
        <v>37</v>
      </c>
      <c r="G32" s="2"/>
      <c r="H32" s="2"/>
      <c r="I32" s="2"/>
      <c r="J32" s="2"/>
      <c r="K32" s="2" t="s">
        <v>38</v>
      </c>
      <c r="L32" s="2"/>
      <c r="M32" s="2"/>
      <c r="N32" s="2"/>
      <c r="O32" s="2"/>
      <c r="P32" s="2"/>
      <c r="V32">
        <f t="shared" si="3"/>
        <v>22</v>
      </c>
    </row>
    <row r="33" spans="1:22">
      <c r="A33" s="2" t="s">
        <v>39</v>
      </c>
      <c r="B33" s="2"/>
      <c r="C33" s="20"/>
      <c r="D33" s="23">
        <f>COUNTIF(C11:C25,"&gt;0")+COUNTIF(C11:C25,"TTU")+COUNTIF(H11:H26,"&gt;0")+COUNTIF(H11:H26,"TTU")</f>
        <v>0</v>
      </c>
      <c r="E33" s="2"/>
      <c r="F33" s="2" t="s">
        <v>40</v>
      </c>
      <c r="G33" s="2"/>
      <c r="H33" s="2"/>
      <c r="I33" s="2"/>
      <c r="J33" s="2"/>
      <c r="K33" s="2" t="s">
        <v>41</v>
      </c>
      <c r="L33" s="2"/>
      <c r="M33" s="2"/>
      <c r="N33" s="2"/>
      <c r="O33" s="2"/>
      <c r="P33" s="2"/>
      <c r="V33">
        <f t="shared" si="3"/>
        <v>23</v>
      </c>
    </row>
    <row r="34" spans="1:22">
      <c r="A34" s="2" t="s">
        <v>42</v>
      </c>
      <c r="D34" s="23">
        <f>V41</f>
        <v>31</v>
      </c>
      <c r="E34" s="2"/>
      <c r="F34" s="2" t="s">
        <v>43</v>
      </c>
      <c r="G34" s="2"/>
      <c r="H34" s="2"/>
      <c r="I34" s="2"/>
      <c r="J34" s="2"/>
      <c r="K34" s="2" t="s">
        <v>44</v>
      </c>
      <c r="L34" s="2"/>
      <c r="M34" s="2"/>
      <c r="N34" s="2"/>
      <c r="O34" s="2"/>
      <c r="V34">
        <f t="shared" si="3"/>
        <v>24</v>
      </c>
    </row>
    <row r="35" spans="1:22">
      <c r="A35" s="2" t="s">
        <v>45</v>
      </c>
      <c r="D35" s="23">
        <f>MAX(V11:V41)</f>
        <v>31</v>
      </c>
      <c r="F35" s="2" t="s">
        <v>46</v>
      </c>
      <c r="G35" s="2"/>
      <c r="H35" s="2"/>
      <c r="I35" s="2"/>
      <c r="J35" s="2"/>
      <c r="K35" s="48" t="s">
        <v>47</v>
      </c>
      <c r="L35" s="2"/>
      <c r="M35" s="2"/>
      <c r="N35" s="2"/>
      <c r="O35" s="2"/>
      <c r="V35">
        <f t="shared" si="3"/>
        <v>25</v>
      </c>
    </row>
    <row r="36" spans="22:22">
      <c r="V36">
        <f t="shared" si="3"/>
        <v>26</v>
      </c>
    </row>
    <row r="37" spans="22:22">
      <c r="V37">
        <f t="shared" si="3"/>
        <v>27</v>
      </c>
    </row>
    <row r="38" spans="22:22">
      <c r="V38">
        <f t="shared" si="3"/>
        <v>28</v>
      </c>
    </row>
    <row r="39" spans="22:22">
      <c r="V39">
        <f t="shared" si="3"/>
        <v>29</v>
      </c>
    </row>
    <row r="40" spans="22:22">
      <c r="V40">
        <f t="shared" si="3"/>
        <v>30</v>
      </c>
    </row>
    <row r="41" spans="22:22">
      <c r="V41">
        <f t="shared" si="3"/>
        <v>31</v>
      </c>
    </row>
  </sheetData>
  <mergeCells count="2">
    <mergeCell ref="M5:M6"/>
    <mergeCell ref="M7:M8"/>
  </mergeCells>
  <printOptions horizontalCentered="1"/>
  <pageMargins left="0.251388888888889" right="0.251388888888889" top="0.751388888888889" bottom="0.751388888888889" header="0.298611111111111" footer="0.298611111111111"/>
  <pageSetup paperSize="9" scale="99" orientation="landscape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Penguapan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zavie</dc:creator>
  <cp:lastModifiedBy>zavie</cp:lastModifiedBy>
  <dcterms:created xsi:type="dcterms:W3CDTF">2025-02-01T09:31:00Z</dcterms:created>
  <cp:lastPrinted>2026-08-15T16:48:00Z</cp:lastPrinted>
  <dcterms:modified xsi:type="dcterms:W3CDTF">2026-08-15T17:23:12Z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6A76CBB5F8EC40369E9550E389B7C46F</vt:lpwstr>
  </property>
  <property fmtid="{D5CDD505-2E9C-101B-9397-08002B2CF9AE}" pid="3" name="KSOProductBuildVer">
    <vt:lpwstr>2057-11.2.0.11537</vt:lpwstr>
  </property>
  <property fmtid="{D5CDD505-2E9C-101B-9397-08002B2CF9AE}" pid="4" name="CalculationRule">
    <vt:i4>0</vt:i4>
  </property>
</Properties>
</file>