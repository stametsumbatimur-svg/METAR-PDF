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LPM" sheetId="1" r:id="rId1"/>
  </sheets>
  <externalReferences>
    <externalReference r:id="rId2"/>
  </externalReferences>
  <definedNames>
    <definedName name="_LPM2" localSheetId="0">[1]WXREV!#REF!</definedName>
    <definedName name="_LPM3">#REF!</definedName>
    <definedName name="NONA" localSheetId="0">[1]WXREV!#REF!</definedName>
    <definedName name="_xlnm.Print_Area" localSheetId="0">LPM!$A$1:$R$58</definedName>
  </definedNames>
  <calcPr calcId="144525"/>
</workbook>
</file>

<file path=xl/comments1.xml><?xml version="1.0" encoding="utf-8"?>
<comments xmlns="http://schemas.openxmlformats.org/spreadsheetml/2006/main">
  <authors>
    <author>Stamet Waingapu</author>
  </authors>
  <commentList>
    <comment ref="B2" authorId="0">
      <text>
        <r>
          <rPr>
            <b/>
            <sz val="9"/>
            <rFont val="Tahoma"/>
            <charset val="134"/>
          </rPr>
          <t>Stamet Waingapu: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<sst xmlns="http://schemas.openxmlformats.org/spreadsheetml/2006/main" count="59" uniqueCount="56">
  <si>
    <t>DATA LAMA PENYINARAN MATAHARI</t>
  </si>
  <si>
    <t xml:space="preserve">STASIUN METEOROLOGI UMBU MEHANG KUNDA </t>
  </si>
  <si>
    <t>BULAN</t>
  </si>
  <si>
    <t>LINTANG</t>
  </si>
  <si>
    <r>
      <rPr>
        <sz val="10"/>
        <rFont val="Arial"/>
        <charset val="134"/>
      </rPr>
      <t xml:space="preserve">: 9.66922 </t>
    </r>
    <r>
      <rPr>
        <vertAlign val="superscript"/>
        <sz val="10"/>
        <rFont val="Arial"/>
        <charset val="134"/>
      </rPr>
      <t>o</t>
    </r>
    <r>
      <rPr>
        <sz val="10"/>
        <rFont val="Arial"/>
        <charset val="134"/>
      </rPr>
      <t>LS</t>
    </r>
  </si>
  <si>
    <t>TAHUN</t>
  </si>
  <si>
    <t>BUJUR</t>
  </si>
  <si>
    <r>
      <rPr>
        <sz val="10"/>
        <rFont val="Arial"/>
        <charset val="134"/>
      </rPr>
      <t xml:space="preserve">: 120.302 </t>
    </r>
    <r>
      <rPr>
        <vertAlign val="superscript"/>
        <sz val="10"/>
        <rFont val="Arial"/>
        <charset val="134"/>
      </rPr>
      <t>o</t>
    </r>
    <r>
      <rPr>
        <sz val="10"/>
        <rFont val="Arial"/>
        <charset val="134"/>
      </rPr>
      <t>BT</t>
    </r>
  </si>
  <si>
    <t>DPL</t>
  </si>
  <si>
    <t>: 10 mdpl</t>
  </si>
  <si>
    <t>Tgl</t>
  </si>
  <si>
    <t>Lamanya Penyinaran (Jam)</t>
  </si>
  <si>
    <t>Lama Penyinaran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</si>
  <si>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</si>
  <si>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</si>
  <si>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</si>
  <si>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</si>
  <si>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</si>
  <si>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</si>
  <si>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</si>
  <si>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</si>
  <si>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</si>
  <si>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</si>
  <si>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</si>
  <si>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</si>
  <si>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8 Jam</t>
  </si>
  <si>
    <t>12 Jam</t>
  </si>
  <si>
    <t>Jumlah</t>
  </si>
  <si>
    <t>%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</si>
  <si>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</si>
  <si>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</si>
  <si>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</si>
  <si>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</si>
  <si>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</si>
  <si>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</si>
  <si>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</si>
  <si>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</si>
  <si>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</si>
  <si>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</si>
  <si>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</si>
  <si>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</si>
  <si>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</si>
  <si>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</si>
  <si>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</si>
  <si>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</si>
  <si>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</si>
  <si>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Rata2</t>
  </si>
  <si>
    <t>Mengetahui :</t>
  </si>
  <si>
    <t>WAINGAPU, 3 AGUSTUS 2026</t>
  </si>
  <si>
    <t>KEPALA STASIUN METEOROLOGI</t>
  </si>
  <si>
    <t>YANG MENYUSUN :</t>
  </si>
  <si>
    <t xml:space="preserve">UMBU MEHANG KUNDA </t>
  </si>
  <si>
    <t>Carles Alexander Tari, S.TP</t>
  </si>
  <si>
    <t>MOHAMMAD HASYIM HANIF., S.Tr.Inst</t>
  </si>
  <si>
    <t>NIP. 197712082001121001</t>
  </si>
  <si>
    <t>NIP. 200011252024031001</t>
  </si>
</sst>
</file>

<file path=xl/styles.xml><?xml version="1.0" encoding="utf-8"?>
<styleSheet xmlns="http://schemas.openxmlformats.org/spreadsheetml/2006/main">
  <numFmts count="5">
    <numFmt numFmtId="176" formatCode="_-&quot;Rp&quot;* #,##0.00_-;\-&quot;Rp&quot;* #,##0.00_-;_-&quot;Rp&quot;* &quot;-&quot;??_-;_-@_-"/>
    <numFmt numFmtId="177" formatCode="_(* #,##0_);_(* \(#,##0\);_(* &quot;-&quot;_);_(@_)"/>
    <numFmt numFmtId="178" formatCode="0.0"/>
    <numFmt numFmtId="179" formatCode="_-&quot;Rp&quot;* #,##0_-;\-&quot;Rp&quot;* #,##0_-;_-&quot;Rp&quot;* &quot;-&quot;??_-;_-@_-"/>
    <numFmt numFmtId="180" formatCode="_(* #,##0.00_);_(* \(#,##0.00\);_(* &quot;-&quot;??_);_(@_)"/>
  </numFmts>
  <fonts count="31">
    <font>
      <sz val="10"/>
      <name val="Arial"/>
      <charset val="134"/>
    </font>
    <font>
      <sz val="9"/>
      <name val="Arial"/>
      <charset val="134"/>
    </font>
    <font>
      <b/>
      <u/>
      <sz val="11"/>
      <name val="Arial"/>
      <charset val="134"/>
    </font>
    <font>
      <sz val="11"/>
      <name val="Arial"/>
      <charset val="134"/>
    </font>
    <font>
      <b/>
      <sz val="9"/>
      <name val="Arial"/>
      <charset val="134"/>
    </font>
    <font>
      <sz val="6"/>
      <name val="Arial"/>
      <charset val="134"/>
    </font>
    <font>
      <u/>
      <sz val="10"/>
      <name val="Arial"/>
      <charset val="134"/>
    </font>
    <font>
      <b/>
      <i/>
      <sz val="9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vertAlign val="superscript"/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8" fillId="10" borderId="0" applyNumberFormat="0" applyBorder="0" applyAlignment="0" applyProtection="0">
      <alignment vertical="center"/>
    </xf>
    <xf numFmtId="180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8" borderId="11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0" fillId="0" borderId="0"/>
    <xf numFmtId="0" fontId="9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36" applyFont="1" applyAlignment="1">
      <alignment horizontal="center" vertical="center"/>
    </xf>
    <xf numFmtId="0" fontId="2" fillId="0" borderId="0" xfId="46" applyFont="1" applyAlignment="1">
      <alignment horizontal="center"/>
    </xf>
    <xf numFmtId="0" fontId="3" fillId="0" borderId="0" xfId="46" applyFont="1" applyAlignment="1">
      <alignment horizontal="center"/>
    </xf>
    <xf numFmtId="0" fontId="0" fillId="0" borderId="0" xfId="0" applyFont="1"/>
    <xf numFmtId="0" fontId="4" fillId="0" borderId="1" xfId="46" applyFont="1" applyBorder="1" applyAlignment="1">
      <alignment horizontal="center" vertical="center"/>
    </xf>
    <xf numFmtId="0" fontId="4" fillId="0" borderId="1" xfId="36" applyFont="1" applyBorder="1" applyAlignment="1">
      <alignment horizontal="center" vertical="center"/>
    </xf>
    <xf numFmtId="0" fontId="5" fillId="0" borderId="2" xfId="46" applyFont="1" applyBorder="1" applyAlignment="1">
      <alignment horizontal="center" vertical="center"/>
    </xf>
    <xf numFmtId="0" fontId="1" fillId="0" borderId="3" xfId="46" applyFont="1" applyBorder="1" applyAlignment="1">
      <alignment horizontal="center"/>
    </xf>
    <xf numFmtId="178" fontId="1" fillId="0" borderId="4" xfId="0" applyNumberFormat="1" applyFont="1" applyBorder="1" applyAlignment="1">
      <alignment horizontal="center" vertical="center"/>
    </xf>
    <xf numFmtId="0" fontId="1" fillId="0" borderId="5" xfId="46" applyFont="1" applyBorder="1" applyAlignment="1">
      <alignment horizontal="center" vertical="center"/>
    </xf>
    <xf numFmtId="0" fontId="1" fillId="0" borderId="6" xfId="46" applyFont="1" applyBorder="1" applyAlignment="1">
      <alignment horizontal="center" vertical="center"/>
    </xf>
    <xf numFmtId="178" fontId="1" fillId="0" borderId="6" xfId="46" applyNumberFormat="1" applyFont="1" applyBorder="1" applyAlignment="1">
      <alignment horizontal="center" vertical="center"/>
    </xf>
    <xf numFmtId="0" fontId="1" fillId="0" borderId="7" xfId="46" applyFont="1" applyBorder="1" applyAlignment="1">
      <alignment horizontal="center" vertical="center"/>
    </xf>
    <xf numFmtId="178" fontId="1" fillId="0" borderId="7" xfId="46" applyNumberFormat="1" applyFont="1" applyBorder="1" applyAlignment="1">
      <alignment horizontal="center" vertical="center"/>
    </xf>
    <xf numFmtId="0" fontId="0" fillId="0" borderId="0" xfId="36" applyAlignment="1">
      <alignment horizontal="left"/>
    </xf>
    <xf numFmtId="0" fontId="6" fillId="0" borderId="0" xfId="0" applyFont="1"/>
    <xf numFmtId="0" fontId="7" fillId="0" borderId="1" xfId="36" applyFont="1" applyBorder="1" applyAlignment="1">
      <alignment horizontal="center" vertical="center"/>
    </xf>
    <xf numFmtId="178" fontId="1" fillId="0" borderId="4" xfId="36" applyNumberFormat="1" applyFont="1" applyBorder="1" applyAlignment="1">
      <alignment horizontal="center" vertical="center"/>
    </xf>
    <xf numFmtId="0" fontId="4" fillId="0" borderId="1" xfId="46" applyFont="1" applyBorder="1" applyAlignment="1" quotePrefix="1">
      <alignment horizontal="center" vertical="center"/>
    </xf>
    <xf numFmtId="0" fontId="4" fillId="0" borderId="1" xfId="36" applyFont="1" applyBorder="1" applyAlignment="1" quotePrefix="1">
      <alignment horizontal="center" vertical="center"/>
    </xf>
    <xf numFmtId="0" fontId="5" fillId="0" borderId="2" xfId="46" applyFont="1" applyBorder="1" applyAlignment="1" quotePrefix="1">
      <alignment horizontal="center" vertic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Normal_Sheet2" xfId="46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</xdr:colOff>
      <xdr:row>49</xdr:row>
      <xdr:rowOff>76200</xdr:rowOff>
    </xdr:from>
    <xdr:to>
      <xdr:col>4</xdr:col>
      <xdr:colOff>344170</xdr:colOff>
      <xdr:row>54</xdr:row>
      <xdr:rowOff>156845</xdr:rowOff>
    </xdr:to>
    <xdr:pic>
      <xdr:nvPicPr>
        <xdr:cNvPr id="2" name="Picture 1" descr="TTD BO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650" y="7820025"/>
          <a:ext cx="1029970" cy="890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9525</xdr:rowOff>
    </xdr:from>
    <xdr:to>
      <xdr:col>4</xdr:col>
      <xdr:colOff>9525</xdr:colOff>
      <xdr:row>57</xdr:row>
      <xdr:rowOff>95250</xdr:rowOff>
    </xdr:to>
    <xdr:pic>
      <xdr:nvPicPr>
        <xdr:cNvPr id="3" name="Picture 2" descr="CAP UMK"/>
        <xdr:cNvPicPr>
          <a:picLocks noChangeAspect="1"/>
        </xdr:cNvPicPr>
      </xdr:nvPicPr>
      <xdr:blipFill>
        <a:blip r:embed="rId2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  <a:alpha val="0"/>
              </a:srgbClr>
            </a:clrTo>
          </a:clrChange>
        </a:blip>
        <a:stretch>
          <a:fillRect/>
        </a:stretch>
      </xdr:blipFill>
      <xdr:spPr>
        <a:xfrm>
          <a:off x="0" y="7429500"/>
          <a:ext cx="1704975" cy="16954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49</xdr:row>
      <xdr:rowOff>28575</xdr:rowOff>
    </xdr:from>
    <xdr:to>
      <xdr:col>14</xdr:col>
      <xdr:colOff>447675</xdr:colOff>
      <xdr:row>54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00575" y="7772400"/>
          <a:ext cx="1066800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zavie\Pictures\AYU%20AGNES\LAPORAN%20BULANAN\https:\d.docs.live.net\ba4bbb33d50ad5f0\Documents\PLT%20KASMET\LAPORAN%20BULANAN%202021\Laporan%20Bulanan%202019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nguapan"/>
      <sheetName val="LPM"/>
      <sheetName val="Perawanan"/>
      <sheetName val="WXREV"/>
      <sheetName val="UPPER WIND"/>
      <sheetName val="Berita Radio"/>
      <sheetName val="Alamat SSB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6"/>
  <sheetViews>
    <sheetView tabSelected="1" view="pageBreakPreview" zoomScaleNormal="100" topLeftCell="A10" workbookViewId="0">
      <selection activeCell="R46" sqref="R46"/>
    </sheetView>
  </sheetViews>
  <sheetFormatPr defaultColWidth="9.14285714285714" defaultRowHeight="12"/>
  <cols>
    <col min="1" max="1" width="8.28571428571429" style="1" customWidth="1"/>
    <col min="2" max="2" width="6.57142857142857" style="1" customWidth="1"/>
    <col min="3" max="14" width="5.28571428571429" style="1" customWidth="1"/>
    <col min="15" max="18" width="6.85714285714286" style="1" customWidth="1"/>
    <col min="19" max="16384" width="9.14285714285714" style="1"/>
  </cols>
  <sheetData>
    <row r="2" ht="15" spans="2:18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spans="2:18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2.75" spans="2:18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ht="13.5" spans="2:18">
      <c r="B5" t="s">
        <v>2</v>
      </c>
      <c r="C5"/>
      <c r="D5" s="4"/>
      <c r="E5"/>
      <c r="F5"/>
      <c r="G5"/>
      <c r="H5"/>
      <c r="I5"/>
      <c r="J5"/>
      <c r="K5"/>
      <c r="L5"/>
      <c r="M5"/>
      <c r="N5" t="s">
        <v>3</v>
      </c>
      <c r="O5"/>
      <c r="P5" t="s">
        <v>4</v>
      </c>
      <c r="Q5"/>
      <c r="R5"/>
    </row>
    <row r="6" ht="13.5" spans="2:18">
      <c r="B6" t="s">
        <v>5</v>
      </c>
      <c r="C6"/>
      <c r="D6" s="4"/>
      <c r="E6"/>
      <c r="F6"/>
      <c r="G6"/>
      <c r="H6"/>
      <c r="I6"/>
      <c r="J6"/>
      <c r="K6"/>
      <c r="L6"/>
      <c r="M6"/>
      <c r="N6" t="s">
        <v>6</v>
      </c>
      <c r="O6"/>
      <c r="P6" t="s">
        <v>7</v>
      </c>
      <c r="Q6"/>
      <c r="R6"/>
    </row>
    <row r="7" ht="12.75" spans="2:18">
      <c r="B7"/>
      <c r="C7"/>
      <c r="D7"/>
      <c r="E7"/>
      <c r="F7"/>
      <c r="G7"/>
      <c r="H7"/>
      <c r="I7"/>
      <c r="J7"/>
      <c r="K7"/>
      <c r="L7"/>
      <c r="M7"/>
      <c r="N7" t="s">
        <v>8</v>
      </c>
      <c r="O7"/>
      <c r="P7" t="s">
        <v>9</v>
      </c>
      <c r="Q7"/>
      <c r="R7"/>
    </row>
    <row r="9" ht="13.5" spans="2:18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ht="13.5" spans="2:18">
      <c r="B10" s="5" t="s">
        <v>10</v>
      </c>
      <c r="C10" s="5" t="s">
        <v>11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 t="s">
        <v>12</v>
      </c>
      <c r="P10" s="6"/>
      <c r="Q10" s="6"/>
      <c r="R10" s="6"/>
    </row>
    <row r="11" ht="13.5" spans="2:18">
      <c r="B11" s="5"/>
      <c r="C11" s="19" t="s">
        <v>13</v>
      </c>
      <c r="D11" s="19" t="s">
        <v>14</v>
      </c>
      <c r="E11" s="19" t="s">
        <v>15</v>
      </c>
      <c r="F11" s="19" t="s">
        <v>16</v>
      </c>
      <c r="G11" s="19" t="s">
        <v>17</v>
      </c>
      <c r="H11" s="20" t="s">
        <v>18</v>
      </c>
      <c r="I11" s="20" t="s">
        <v>19</v>
      </c>
      <c r="J11" s="20" t="s">
        <v>20</v>
      </c>
      <c r="K11" s="20" t="s">
        <v>21</v>
      </c>
      <c r="L11" s="20" t="s">
        <v>22</v>
      </c>
      <c r="M11" s="20" t="s">
        <v>23</v>
      </c>
      <c r="N11" s="20" t="s">
        <v>24</v>
      </c>
      <c r="O11" s="17" t="s">
        <v>25</v>
      </c>
      <c r="P11" s="17"/>
      <c r="Q11" s="17" t="s">
        <v>26</v>
      </c>
      <c r="R11" s="17"/>
    </row>
    <row r="12" ht="13.5" spans="2:18"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 t="s">
        <v>27</v>
      </c>
      <c r="P12" s="20" t="s">
        <v>28</v>
      </c>
      <c r="Q12" s="6" t="s">
        <v>27</v>
      </c>
      <c r="R12" s="20" t="s">
        <v>28</v>
      </c>
    </row>
    <row r="13" ht="13.5" spans="2:18">
      <c r="B13" s="21" t="s">
        <v>29</v>
      </c>
      <c r="C13" s="21" t="s">
        <v>30</v>
      </c>
      <c r="D13" s="21" t="s">
        <v>31</v>
      </c>
      <c r="E13" s="21" t="s">
        <v>32</v>
      </c>
      <c r="F13" s="21" t="s">
        <v>33</v>
      </c>
      <c r="G13" s="21" t="s">
        <v>34</v>
      </c>
      <c r="H13" s="21" t="s">
        <v>35</v>
      </c>
      <c r="I13" s="21" t="s">
        <v>36</v>
      </c>
      <c r="J13" s="21" t="s">
        <v>37</v>
      </c>
      <c r="K13" s="21" t="s">
        <v>38</v>
      </c>
      <c r="L13" s="21" t="s">
        <v>39</v>
      </c>
      <c r="M13" s="21" t="s">
        <v>40</v>
      </c>
      <c r="N13" s="21" t="s">
        <v>41</v>
      </c>
      <c r="O13" s="21" t="s">
        <v>42</v>
      </c>
      <c r="P13" s="21" t="s">
        <v>43</v>
      </c>
      <c r="Q13" s="21" t="s">
        <v>44</v>
      </c>
      <c r="R13" s="21" t="s">
        <v>45</v>
      </c>
    </row>
    <row r="14" spans="2:18">
      <c r="B14" s="8">
        <v>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18">
        <f>O14/8*100</f>
        <v>0</v>
      </c>
      <c r="Q14" s="9">
        <v>0</v>
      </c>
      <c r="R14" s="18">
        <f>Q14/12*100</f>
        <v>0</v>
      </c>
    </row>
    <row r="15" spans="2:18">
      <c r="B15" s="10">
        <v>2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18">
        <f t="shared" ref="P15:P44" si="0">O15/8*100</f>
        <v>0</v>
      </c>
      <c r="Q15" s="9">
        <v>0</v>
      </c>
      <c r="R15" s="18">
        <f t="shared" ref="R14:R44" si="1">Q15/12*100</f>
        <v>0</v>
      </c>
    </row>
    <row r="16" spans="2:18">
      <c r="B16" s="10">
        <v>3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18">
        <f t="shared" si="0"/>
        <v>0</v>
      </c>
      <c r="Q16" s="9">
        <v>0</v>
      </c>
      <c r="R16" s="18">
        <f t="shared" si="1"/>
        <v>0</v>
      </c>
    </row>
    <row r="17" spans="2:18">
      <c r="B17" s="10">
        <v>4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18">
        <f t="shared" si="0"/>
        <v>0</v>
      </c>
      <c r="Q17" s="9">
        <v>0</v>
      </c>
      <c r="R17" s="18">
        <f t="shared" si="1"/>
        <v>0</v>
      </c>
    </row>
    <row r="18" spans="2:18">
      <c r="B18" s="10">
        <v>5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18">
        <f t="shared" si="0"/>
        <v>0</v>
      </c>
      <c r="Q18" s="9">
        <v>0</v>
      </c>
      <c r="R18" s="18">
        <f t="shared" si="1"/>
        <v>0</v>
      </c>
    </row>
    <row r="19" spans="2:18">
      <c r="B19" s="10">
        <v>6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18">
        <f t="shared" si="0"/>
        <v>0</v>
      </c>
      <c r="Q19" s="9">
        <v>0</v>
      </c>
      <c r="R19" s="18">
        <f t="shared" si="1"/>
        <v>0</v>
      </c>
    </row>
    <row r="20" spans="2:18">
      <c r="B20" s="10">
        <v>7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18">
        <f t="shared" si="0"/>
        <v>0</v>
      </c>
      <c r="Q20" s="9">
        <v>0</v>
      </c>
      <c r="R20" s="18">
        <f t="shared" si="1"/>
        <v>0</v>
      </c>
    </row>
    <row r="21" spans="2:18">
      <c r="B21" s="10">
        <v>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18">
        <f t="shared" si="0"/>
        <v>0</v>
      </c>
      <c r="Q21" s="9">
        <v>0</v>
      </c>
      <c r="R21" s="18">
        <f t="shared" si="1"/>
        <v>0</v>
      </c>
    </row>
    <row r="22" spans="2:18">
      <c r="B22" s="10">
        <v>9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18">
        <f t="shared" si="0"/>
        <v>0</v>
      </c>
      <c r="Q22" s="9">
        <v>0</v>
      </c>
      <c r="R22" s="18">
        <f t="shared" si="1"/>
        <v>0</v>
      </c>
    </row>
    <row r="23" spans="2:18">
      <c r="B23" s="10">
        <v>10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18">
        <f t="shared" si="0"/>
        <v>0</v>
      </c>
      <c r="Q23" s="9">
        <v>0</v>
      </c>
      <c r="R23" s="18">
        <f t="shared" si="1"/>
        <v>0</v>
      </c>
    </row>
    <row r="24" spans="2:18">
      <c r="B24" s="10">
        <v>11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18">
        <f t="shared" si="0"/>
        <v>0</v>
      </c>
      <c r="Q24" s="9">
        <v>0</v>
      </c>
      <c r="R24" s="18">
        <f t="shared" si="1"/>
        <v>0</v>
      </c>
    </row>
    <row r="25" spans="2:18">
      <c r="B25" s="10">
        <v>12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18">
        <f t="shared" si="0"/>
        <v>0</v>
      </c>
      <c r="Q25" s="9">
        <v>0</v>
      </c>
      <c r="R25" s="18">
        <f t="shared" si="1"/>
        <v>0</v>
      </c>
    </row>
    <row r="26" spans="2:18">
      <c r="B26" s="10">
        <v>13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18">
        <f t="shared" si="0"/>
        <v>0</v>
      </c>
      <c r="Q26" s="9">
        <v>0</v>
      </c>
      <c r="R26" s="18">
        <f t="shared" si="1"/>
        <v>0</v>
      </c>
    </row>
    <row r="27" spans="2:18">
      <c r="B27" s="10">
        <v>14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18">
        <f t="shared" si="0"/>
        <v>0</v>
      </c>
      <c r="Q27" s="9">
        <v>0</v>
      </c>
      <c r="R27" s="18">
        <f t="shared" si="1"/>
        <v>0</v>
      </c>
    </row>
    <row r="28" spans="2:18">
      <c r="B28" s="10">
        <v>15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18">
        <f t="shared" si="0"/>
        <v>0</v>
      </c>
      <c r="Q28" s="9">
        <v>0</v>
      </c>
      <c r="R28" s="18">
        <f t="shared" si="1"/>
        <v>0</v>
      </c>
    </row>
    <row r="29" spans="2:18">
      <c r="B29" s="10">
        <v>16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18">
        <f t="shared" si="0"/>
        <v>0</v>
      </c>
      <c r="Q29" s="9">
        <v>0</v>
      </c>
      <c r="R29" s="18">
        <f t="shared" si="1"/>
        <v>0</v>
      </c>
    </row>
    <row r="30" spans="2:18">
      <c r="B30" s="10">
        <v>17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18">
        <f t="shared" si="0"/>
        <v>0</v>
      </c>
      <c r="Q30" s="9">
        <v>0</v>
      </c>
      <c r="R30" s="18">
        <f t="shared" si="1"/>
        <v>0</v>
      </c>
    </row>
    <row r="31" spans="2:18">
      <c r="B31" s="10">
        <v>18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18">
        <f t="shared" si="0"/>
        <v>0</v>
      </c>
      <c r="Q31" s="9">
        <v>0</v>
      </c>
      <c r="R31" s="18">
        <f t="shared" si="1"/>
        <v>0</v>
      </c>
    </row>
    <row r="32" spans="2:18">
      <c r="B32" s="10">
        <v>19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18">
        <f t="shared" si="0"/>
        <v>0</v>
      </c>
      <c r="Q32" s="9">
        <v>0</v>
      </c>
      <c r="R32" s="18">
        <f t="shared" si="1"/>
        <v>0</v>
      </c>
    </row>
    <row r="33" spans="2:18">
      <c r="B33" s="10">
        <v>20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8">
        <f t="shared" si="0"/>
        <v>0</v>
      </c>
      <c r="Q33" s="9">
        <v>0</v>
      </c>
      <c r="R33" s="18">
        <f t="shared" si="1"/>
        <v>0</v>
      </c>
    </row>
    <row r="34" spans="2:18">
      <c r="B34" s="10">
        <v>21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18">
        <f t="shared" si="0"/>
        <v>0</v>
      </c>
      <c r="Q34" s="9">
        <v>0</v>
      </c>
      <c r="R34" s="18">
        <f t="shared" si="1"/>
        <v>0</v>
      </c>
    </row>
    <row r="35" spans="2:18">
      <c r="B35" s="10">
        <v>22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18">
        <f t="shared" si="0"/>
        <v>0</v>
      </c>
      <c r="Q35" s="9">
        <v>0</v>
      </c>
      <c r="R35" s="18">
        <f t="shared" si="1"/>
        <v>0</v>
      </c>
    </row>
    <row r="36" spans="2:18">
      <c r="B36" s="10">
        <v>23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18">
        <f t="shared" si="0"/>
        <v>0</v>
      </c>
      <c r="Q36" s="9">
        <v>0</v>
      </c>
      <c r="R36" s="18">
        <f t="shared" si="1"/>
        <v>0</v>
      </c>
    </row>
    <row r="37" spans="2:18">
      <c r="B37" s="10">
        <v>24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18">
        <f t="shared" si="0"/>
        <v>0</v>
      </c>
      <c r="Q37" s="9">
        <v>0</v>
      </c>
      <c r="R37" s="18">
        <f t="shared" si="1"/>
        <v>0</v>
      </c>
    </row>
    <row r="38" spans="2:18">
      <c r="B38" s="10">
        <v>25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18">
        <f t="shared" si="0"/>
        <v>0</v>
      </c>
      <c r="Q38" s="9">
        <v>0</v>
      </c>
      <c r="R38" s="18">
        <f t="shared" si="1"/>
        <v>0</v>
      </c>
    </row>
    <row r="39" spans="2:18">
      <c r="B39" s="10">
        <v>26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18">
        <f t="shared" si="0"/>
        <v>0</v>
      </c>
      <c r="Q39" s="9">
        <v>0</v>
      </c>
      <c r="R39" s="18">
        <f t="shared" si="1"/>
        <v>0</v>
      </c>
    </row>
    <row r="40" spans="2:18">
      <c r="B40" s="10">
        <v>27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18">
        <f t="shared" si="0"/>
        <v>0</v>
      </c>
      <c r="Q40" s="9">
        <v>0</v>
      </c>
      <c r="R40" s="18">
        <f t="shared" si="1"/>
        <v>0</v>
      </c>
    </row>
    <row r="41" spans="2:18">
      <c r="B41" s="10">
        <v>28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18">
        <f t="shared" si="0"/>
        <v>0</v>
      </c>
      <c r="Q41" s="9">
        <v>0</v>
      </c>
      <c r="R41" s="18">
        <f t="shared" si="1"/>
        <v>0</v>
      </c>
    </row>
    <row r="42" spans="2:18">
      <c r="B42" s="10">
        <v>29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18">
        <f t="shared" si="0"/>
        <v>0</v>
      </c>
      <c r="Q42" s="9">
        <v>0</v>
      </c>
      <c r="R42" s="18">
        <f t="shared" si="1"/>
        <v>0</v>
      </c>
    </row>
    <row r="43" spans="2:18">
      <c r="B43" s="10">
        <v>30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18">
        <f t="shared" si="0"/>
        <v>0</v>
      </c>
      <c r="Q43" s="9">
        <v>0</v>
      </c>
      <c r="R43" s="18">
        <f t="shared" si="1"/>
        <v>0</v>
      </c>
    </row>
    <row r="44" ht="12.75" spans="2:18">
      <c r="B44" s="10">
        <v>31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18">
        <f t="shared" si="0"/>
        <v>0</v>
      </c>
      <c r="Q44" s="9">
        <v>0</v>
      </c>
      <c r="R44" s="18">
        <f t="shared" si="1"/>
        <v>0</v>
      </c>
    </row>
    <row r="45" spans="2:18">
      <c r="B45" s="11" t="s">
        <v>27</v>
      </c>
      <c r="C45" s="12">
        <f>SUM(C14:C44)</f>
        <v>0</v>
      </c>
      <c r="D45" s="12">
        <f t="shared" ref="D45:R45" si="2">SUM(D14:D44)</f>
        <v>0</v>
      </c>
      <c r="E45" s="12">
        <f t="shared" si="2"/>
        <v>0</v>
      </c>
      <c r="F45" s="12">
        <f t="shared" si="2"/>
        <v>0</v>
      </c>
      <c r="G45" s="12">
        <f t="shared" si="2"/>
        <v>0</v>
      </c>
      <c r="H45" s="12">
        <f t="shared" si="2"/>
        <v>0</v>
      </c>
      <c r="I45" s="12">
        <f t="shared" si="2"/>
        <v>0</v>
      </c>
      <c r="J45" s="12">
        <f t="shared" si="2"/>
        <v>0</v>
      </c>
      <c r="K45" s="12">
        <f t="shared" si="2"/>
        <v>0</v>
      </c>
      <c r="L45" s="12">
        <f t="shared" si="2"/>
        <v>0</v>
      </c>
      <c r="M45" s="12">
        <f t="shared" si="2"/>
        <v>0</v>
      </c>
      <c r="N45" s="12">
        <f t="shared" si="2"/>
        <v>0</v>
      </c>
      <c r="O45" s="12">
        <f t="shared" si="2"/>
        <v>0</v>
      </c>
      <c r="P45" s="12">
        <f t="shared" si="2"/>
        <v>0</v>
      </c>
      <c r="Q45" s="12">
        <f t="shared" si="2"/>
        <v>0</v>
      </c>
      <c r="R45" s="12">
        <f t="shared" si="2"/>
        <v>0</v>
      </c>
    </row>
    <row r="46" ht="12.75" spans="2:18">
      <c r="B46" s="13" t="s">
        <v>46</v>
      </c>
      <c r="C46" s="14">
        <f>AVERAGE(C14:C44)</f>
        <v>0</v>
      </c>
      <c r="D46" s="14">
        <f t="shared" ref="D46:R46" si="3">AVERAGE(D14:D44)</f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</row>
    <row r="47" ht="13.5" spans="2:18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ht="12.75" spans="2:18">
      <c r="B48" s="15" t="s">
        <v>47</v>
      </c>
      <c r="C48" s="15"/>
      <c r="D48" s="15"/>
      <c r="E48" s="15"/>
      <c r="F48" s="15"/>
      <c r="G48"/>
      <c r="H48"/>
      <c r="I48"/>
      <c r="J48"/>
      <c r="K48"/>
      <c r="L48"/>
      <c r="M48" s="4" t="s">
        <v>48</v>
      </c>
      <c r="N48"/>
      <c r="O48"/>
      <c r="P48"/>
      <c r="Q48"/>
      <c r="R48"/>
    </row>
    <row r="49" ht="12.75" spans="2:18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ht="12.75" spans="2:18">
      <c r="B50" t="s">
        <v>49</v>
      </c>
      <c r="C50"/>
      <c r="D50"/>
      <c r="E50"/>
      <c r="F50"/>
      <c r="G50"/>
      <c r="H50"/>
      <c r="I50"/>
      <c r="J50"/>
      <c r="K50"/>
      <c r="L50"/>
      <c r="M50" s="15" t="s">
        <v>50</v>
      </c>
      <c r="N50" s="15"/>
      <c r="O50" s="15"/>
      <c r="P50" s="15"/>
      <c r="Q50"/>
      <c r="R50"/>
    </row>
    <row r="51" ht="12.75" spans="2:18">
      <c r="B51" t="s">
        <v>51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ht="12.75" spans="2:18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ht="12.75" spans="2:18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ht="12.75" spans="2:18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ht="12.75" spans="2:18">
      <c r="B55" s="16" t="s">
        <v>52</v>
      </c>
      <c r="C55"/>
      <c r="D55"/>
      <c r="E55"/>
      <c r="F55"/>
      <c r="G55"/>
      <c r="H55"/>
      <c r="I55"/>
      <c r="J55"/>
      <c r="K55"/>
      <c r="L55"/>
      <c r="M55" s="16" t="s">
        <v>53</v>
      </c>
      <c r="N55"/>
      <c r="O55"/>
      <c r="P55"/>
      <c r="Q55"/>
      <c r="R55"/>
    </row>
    <row r="56" ht="12.75" spans="2:18">
      <c r="B56" t="s">
        <v>54</v>
      </c>
      <c r="C56"/>
      <c r="D56"/>
      <c r="E56"/>
      <c r="F56"/>
      <c r="G56"/>
      <c r="H56"/>
      <c r="I56"/>
      <c r="J56"/>
      <c r="K56"/>
      <c r="L56"/>
      <c r="M56" t="s">
        <v>55</v>
      </c>
      <c r="N56"/>
      <c r="O56"/>
      <c r="P56"/>
      <c r="Q56"/>
      <c r="R56"/>
    </row>
  </sheetData>
  <mergeCells count="21">
    <mergeCell ref="B2:R2"/>
    <mergeCell ref="B3:R3"/>
    <mergeCell ref="C10:N10"/>
    <mergeCell ref="O10:R10"/>
    <mergeCell ref="O11:P11"/>
    <mergeCell ref="Q11:R11"/>
    <mergeCell ref="B48:F48"/>
    <mergeCell ref="M50:P50"/>
    <mergeCell ref="B10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36111111111111" right="0.236111111111111" top="0.747916666666667" bottom="0.747916666666667" header="0.314583333333333" footer="0.314583333333333"/>
  <pageSetup paperSize="9" scale="93" orientation="portrait" horizontalDpi="360" verticalDpi="360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2" rgbClr="CB95F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dcterms:created xsi:type="dcterms:W3CDTF">2025-02-01T07:48:00Z</dcterms:created>
  <cp:lastPrinted>2026-08-15T17:48:00Z</cp:lastPrinted>
  <dcterms:modified xsi:type="dcterms:W3CDTF">2026-08-15T18:23:32Z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CCAD26EDADCC43AFAD3528D350F5DC24</vt:lpwstr>
  </property>
  <property fmtid="{D5CDD505-2E9C-101B-9397-08002B2CF9AE}" pid="3" name="KSOProductBuildVer">
    <vt:lpwstr>2057-11.2.0.11537</vt:lpwstr>
  </property>
</Properties>
</file>