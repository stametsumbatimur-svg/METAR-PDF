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567"/>
  </bookViews>
  <sheets>
    <sheet name="A" sheetId="5" r:id="rId1"/>
    <sheet name="B 1" sheetId="6" r:id="rId2"/>
    <sheet name="B 2" sheetId="7" r:id="rId3"/>
  </sheets>
  <definedNames>
    <definedName name="_xlnm.Print_Area" localSheetId="0">A!$A$1:$AK$47</definedName>
    <definedName name="_xlnm.Print_Area" localSheetId="1">'B 1'!$A$1:$AB$47</definedName>
    <definedName name="_xlnm.Print_Area" localSheetId="2">'B 2'!$A$1:$N$40</definedName>
  </definedNames>
  <calcPr calcId="144525"/>
</workbook>
</file>

<file path=xl/sharedStrings.xml><?xml version="1.0" encoding="utf-8"?>
<sst xmlns="http://schemas.openxmlformats.org/spreadsheetml/2006/main" count="481" uniqueCount="71">
  <si>
    <t>BADAN METEOROLOGI KLIMATOLOGI DAN GEOFISIKA</t>
  </si>
  <si>
    <t>Nama Stasiun</t>
  </si>
  <si>
    <t xml:space="preserve"> : STA. MET. UMBU MEHANG KUNDA</t>
  </si>
  <si>
    <r>
      <rPr>
        <u/>
        <sz val="10"/>
        <rFont val="Arial"/>
        <charset val="134"/>
      </rPr>
      <t xml:space="preserve">Form : </t>
    </r>
    <r>
      <rPr>
        <b/>
        <u/>
        <sz val="10"/>
        <rFont val="Arial"/>
        <charset val="134"/>
      </rPr>
      <t>A</t>
    </r>
  </si>
  <si>
    <t>Kabupaten</t>
  </si>
  <si>
    <t xml:space="preserve"> : SUMBA TIMUR</t>
  </si>
  <si>
    <t>BALAI BESAR WILAYAH III</t>
  </si>
  <si>
    <t>Ketinggian</t>
  </si>
  <si>
    <t xml:space="preserve"> : 10 m</t>
  </si>
  <si>
    <t>PENAKAR HUJAN OTOMATIS</t>
  </si>
  <si>
    <t>Nama Pengamat :</t>
  </si>
  <si>
    <t>MOHAMMAD HASYIM HANIF</t>
  </si>
  <si>
    <t xml:space="preserve">No. Sts.Hujan Obs </t>
  </si>
  <si>
    <t xml:space="preserve"> : 461</t>
  </si>
  <si>
    <t>Laporan</t>
  </si>
  <si>
    <t xml:space="preserve">Bulan  : </t>
  </si>
  <si>
    <t xml:space="preserve">                  Tipe Penakar      :</t>
  </si>
  <si>
    <t xml:space="preserve"> HELLMAN</t>
  </si>
  <si>
    <t xml:space="preserve">No. Sts.Hujan Otm </t>
  </si>
  <si>
    <t xml:space="preserve"> :</t>
  </si>
  <si>
    <t xml:space="preserve">Tahun  : </t>
  </si>
  <si>
    <t>Jumlah pada masing-masing periode waktu</t>
  </si>
  <si>
    <t>Tanggal</t>
  </si>
  <si>
    <t>J U M L A H   H U J A N   T I A P   J A M   ( MILIMETER )</t>
  </si>
  <si>
    <t>Jumlah</t>
  </si>
  <si>
    <t>24 jam</t>
  </si>
  <si>
    <t>( dalam milimeter )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</si>
  <si>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</si>
  <si>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</si>
  <si>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</si>
  <si>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</si>
  <si>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</si>
  <si>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</si>
  <si>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</si>
  <si>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</si>
  <si>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</si>
  <si>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</si>
  <si>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</si>
  <si>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</si>
  <si>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</si>
  <si>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</si>
  <si>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</si>
  <si>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</si>
  <si>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</si>
  <si>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00-01</t>
  </si>
  <si>
    <t>01-02</t>
  </si>
  <si>
    <t>02-03</t>
  </si>
  <si>
    <t>03-04</t>
  </si>
  <si>
    <t>04-05</t>
  </si>
  <si>
    <t>05-06</t>
  </si>
  <si>
    <t>06-07</t>
  </si>
  <si>
    <t>menit</t>
  </si>
  <si>
    <t>jam</t>
  </si>
  <si>
    <t>-</t>
  </si>
  <si>
    <t>Tgl dan Intensitas Maks.</t>
  </si>
  <si>
    <t>Jml</t>
  </si>
  <si>
    <t>Max.</t>
  </si>
  <si>
    <t>Jam pemeriksaan hujan model Obs (waktu setempat)</t>
  </si>
  <si>
    <r>
      <rPr>
        <sz val="10"/>
        <rFont val="Arial"/>
        <charset val="134"/>
      </rPr>
      <t xml:space="preserve">Jam :  </t>
    </r>
    <r>
      <rPr>
        <b/>
        <sz val="10"/>
        <rFont val="Arial"/>
        <charset val="134"/>
      </rPr>
      <t>07.00</t>
    </r>
    <r>
      <rPr>
        <sz val="10"/>
        <rFont val="Arial"/>
        <charset val="134"/>
      </rPr>
      <t xml:space="preserve">   </t>
    </r>
    <r>
      <rPr>
        <strike/>
        <sz val="10"/>
        <rFont val="Arial"/>
        <charset val="134"/>
      </rPr>
      <t xml:space="preserve">WIB </t>
    </r>
    <r>
      <rPr>
        <sz val="10"/>
        <rFont val="Arial"/>
        <charset val="134"/>
      </rPr>
      <t xml:space="preserve">/ WITA / </t>
    </r>
    <r>
      <rPr>
        <strike/>
        <sz val="10"/>
        <rFont val="Arial"/>
        <charset val="134"/>
      </rPr>
      <t>WIT</t>
    </r>
    <r>
      <rPr>
        <sz val="10"/>
        <rFont val="Arial"/>
        <charset val="134"/>
      </rPr>
      <t xml:space="preserve"> KET.X=RUSAK</t>
    </r>
  </si>
  <si>
    <t>BADAN METEOROLOGI DAN GEOFISIKA</t>
  </si>
  <si>
    <r>
      <rPr>
        <sz val="10"/>
        <rFont val="Arial"/>
        <charset val="134"/>
      </rPr>
      <t xml:space="preserve">Form :   </t>
    </r>
    <r>
      <rPr>
        <b/>
        <sz val="10"/>
        <rFont val="Arial"/>
        <charset val="134"/>
      </rPr>
      <t>B</t>
    </r>
  </si>
  <si>
    <r>
      <rPr>
        <b/>
        <sz val="12"/>
        <rFont val="Arial"/>
        <charset val="134"/>
      </rPr>
      <t xml:space="preserve">                   </t>
    </r>
    <r>
      <rPr>
        <b/>
        <u/>
        <sz val="12"/>
        <rFont val="Arial"/>
        <charset val="134"/>
      </rPr>
      <t>PENAKAR HUJAN OTOMATIS</t>
    </r>
  </si>
  <si>
    <t>: 461</t>
  </si>
  <si>
    <t xml:space="preserve">    Tipe Penakar  :</t>
  </si>
  <si>
    <r>
      <rPr>
        <sz val="10"/>
        <rFont val="Arial"/>
        <charset val="134"/>
      </rPr>
      <t xml:space="preserve"> </t>
    </r>
    <r>
      <rPr>
        <sz val="10"/>
        <rFont val="Arial"/>
        <charset val="134"/>
      </rPr>
      <t>HELLMAN</t>
    </r>
  </si>
  <si>
    <t>No. Sts.Hujan Otm :</t>
  </si>
  <si>
    <t>Faktor koreksi ( FK ) Selama 24 jam</t>
  </si>
  <si>
    <t>Pengukuran Obs.</t>
  </si>
  <si>
    <t>Pembacaan Pias</t>
  </si>
  <si>
    <t>Tanggal dan Intensitas Maximum</t>
  </si>
  <si>
    <r>
      <rPr>
        <sz val="9"/>
        <rFont val="Arial"/>
        <charset val="134"/>
      </rPr>
      <t xml:space="preserve">Jam :  </t>
    </r>
    <r>
      <rPr>
        <b/>
        <sz val="9"/>
        <rFont val="Arial"/>
        <charset val="134"/>
      </rPr>
      <t>07.00</t>
    </r>
    <r>
      <rPr>
        <sz val="9"/>
        <rFont val="Arial"/>
        <charset val="134"/>
      </rPr>
      <t xml:space="preserve">   </t>
    </r>
    <r>
      <rPr>
        <strike/>
        <sz val="9"/>
        <rFont val="Arial"/>
        <charset val="134"/>
      </rPr>
      <t xml:space="preserve">WIB </t>
    </r>
    <r>
      <rPr>
        <sz val="9"/>
        <rFont val="Arial"/>
        <charset val="134"/>
      </rPr>
      <t xml:space="preserve">/ WITA / </t>
    </r>
    <r>
      <rPr>
        <strike/>
        <sz val="9"/>
        <rFont val="Arial"/>
        <charset val="134"/>
      </rPr>
      <t>WIT</t>
    </r>
  </si>
</sst>
</file>

<file path=xl/styles.xml><?xml version="1.0" encoding="utf-8"?>
<styleSheet xmlns="http://schemas.openxmlformats.org/spreadsheetml/2006/main">
  <numFmts count="7">
    <numFmt numFmtId="176" formatCode="0.0"/>
    <numFmt numFmtId="177" formatCode="_(* #,##0.00_);_(* \(#,##0.00\);_(* &quot;-&quot;??_);_(@_)"/>
    <numFmt numFmtId="178" formatCode="_(* #,##0_);_(* \(#,##0\);_(* &quot;-&quot;_);_(@_)"/>
    <numFmt numFmtId="179" formatCode="_-&quot;Rp&quot;* #,##0.00_-;\-&quot;Rp&quot;* #,##0.00_-;_-&quot;Rp&quot;* &quot;-&quot;??_-;_-@_-"/>
    <numFmt numFmtId="180" formatCode="_(&quot;Rp&quot;* #,##0_);_(&quot;Rp&quot;* \(#,##0\);_(&quot;Rp&quot;* &quot;-&quot;_);_(@_)"/>
    <numFmt numFmtId="181" formatCode="_(* #,##0.0_);_(* \(#,##0.0\);_(* &quot;-&quot;?_);_(@_)"/>
    <numFmt numFmtId="182" formatCode="_(* #,##0.0_);_(* \(#,##0.0\);_(* &quot;-&quot;_);_(@_)"/>
  </numFmts>
  <fonts count="41">
    <font>
      <sz val="10"/>
      <name val="Arial"/>
      <charset val="134"/>
    </font>
    <font>
      <sz val="8"/>
      <name val="Arial"/>
      <charset val="134"/>
    </font>
    <font>
      <sz val="9"/>
      <name val="Arial"/>
      <charset val="134"/>
    </font>
    <font>
      <sz val="8"/>
      <name val="Arial Narrow"/>
      <charset val="134"/>
    </font>
    <font>
      <u/>
      <sz val="8"/>
      <name val="Arial Narrow"/>
      <charset val="134"/>
    </font>
    <font>
      <sz val="10"/>
      <name val="Arial Narrow"/>
      <charset val="134"/>
    </font>
    <font>
      <sz val="9"/>
      <name val="Arial Narrow"/>
      <charset val="134"/>
    </font>
    <font>
      <sz val="11"/>
      <name val="Arial"/>
      <charset val="134"/>
    </font>
    <font>
      <b/>
      <sz val="10"/>
      <name val="Arial Narrow"/>
      <charset val="134"/>
    </font>
    <font>
      <b/>
      <sz val="10"/>
      <name val="Arial"/>
      <charset val="134"/>
    </font>
    <font>
      <b/>
      <sz val="10"/>
      <name val="Bookman Old Style"/>
      <charset val="134"/>
    </font>
    <font>
      <b/>
      <sz val="18"/>
      <name val="Arial Narrow"/>
      <charset val="134"/>
    </font>
    <font>
      <b/>
      <sz val="12"/>
      <name val="Arial"/>
      <charset val="134"/>
    </font>
    <font>
      <b/>
      <u/>
      <sz val="10"/>
      <name val="Arial"/>
      <charset val="134"/>
    </font>
    <font>
      <sz val="9"/>
      <color theme="1"/>
      <name val="Arial Narrow"/>
      <charset val="134"/>
    </font>
    <font>
      <b/>
      <sz val="14"/>
      <name val="Arial Narrow"/>
      <charset val="134"/>
    </font>
    <font>
      <b/>
      <u/>
      <sz val="12"/>
      <name val="Arial"/>
      <charset val="134"/>
    </font>
    <font>
      <u/>
      <sz val="10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9"/>
      <name val="Arial"/>
      <charset val="134"/>
    </font>
    <font>
      <strike/>
      <sz val="9"/>
      <name val="Arial"/>
      <charset val="134"/>
    </font>
    <font>
      <strike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21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22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17" borderId="24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0" fillId="19" borderId="26" applyNumberFormat="0" applyFon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18" fillId="3" borderId="19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7" fillId="3" borderId="20" applyNumberFormat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6">
    <xf numFmtId="0" fontId="0" fillId="0" borderId="0" xfId="0"/>
    <xf numFmtId="0" fontId="1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/>
    </xf>
    <xf numFmtId="37" fontId="5" fillId="0" borderId="10" xfId="0" applyNumberFormat="1" applyFont="1" applyBorder="1" applyAlignment="1">
      <alignment horizontal="center"/>
    </xf>
    <xf numFmtId="176" fontId="2" fillId="0" borderId="9" xfId="8" applyNumberFormat="1" applyFont="1" applyBorder="1" applyAlignment="1">
      <alignment horizontal="center"/>
    </xf>
    <xf numFmtId="176" fontId="2" fillId="0" borderId="9" xfId="0" applyNumberFormat="1" applyFont="1" applyBorder="1" applyAlignment="1">
      <alignment horizontal="center" vertical="center" shrinkToFit="1"/>
    </xf>
    <xf numFmtId="176" fontId="6" fillId="0" borderId="10" xfId="0" applyNumberFormat="1" applyFont="1" applyBorder="1" applyAlignment="1">
      <alignment horizontal="center" vertical="center"/>
    </xf>
    <xf numFmtId="37" fontId="5" fillId="0" borderId="11" xfId="0" applyNumberFormat="1" applyFont="1" applyBorder="1" applyAlignment="1">
      <alignment horizontal="center"/>
    </xf>
    <xf numFmtId="37" fontId="5" fillId="0" borderId="12" xfId="0" applyNumberFormat="1" applyFont="1" applyBorder="1" applyAlignment="1">
      <alignment horizontal="center"/>
    </xf>
    <xf numFmtId="37" fontId="5" fillId="0" borderId="13" xfId="0" applyNumberFormat="1" applyFont="1" applyBorder="1" applyAlignment="1">
      <alignment horizontal="center"/>
    </xf>
    <xf numFmtId="37" fontId="5" fillId="2" borderId="11" xfId="0" applyNumberFormat="1" applyFont="1" applyFill="1" applyBorder="1" applyAlignment="1">
      <alignment horizontal="center"/>
    </xf>
    <xf numFmtId="37" fontId="5" fillId="2" borderId="12" xfId="0" applyNumberFormat="1" applyFont="1" applyFill="1" applyBorder="1" applyAlignment="1">
      <alignment horizontal="center"/>
    </xf>
    <xf numFmtId="37" fontId="5" fillId="2" borderId="13" xfId="0" applyNumberFormat="1" applyFont="1" applyFill="1" applyBorder="1" applyAlignment="1">
      <alignment horizontal="center"/>
    </xf>
    <xf numFmtId="176" fontId="6" fillId="0" borderId="10" xfId="0" applyNumberFormat="1" applyFont="1" applyBorder="1" applyAlignment="1">
      <alignment horizontal="center"/>
    </xf>
    <xf numFmtId="181" fontId="3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81" fontId="3" fillId="0" borderId="9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7" fillId="0" borderId="16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2" fillId="0" borderId="7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76" fontId="0" fillId="0" borderId="17" xfId="0" applyNumberFormat="1" applyBorder="1"/>
    <xf numFmtId="0" fontId="7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/>
    <xf numFmtId="0" fontId="0" fillId="0" borderId="16" xfId="0" applyBorder="1"/>
    <xf numFmtId="0" fontId="8" fillId="0" borderId="16" xfId="0" applyFont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8" fillId="0" borderId="16" xfId="0" applyFont="1" applyBorder="1"/>
    <xf numFmtId="0" fontId="1" fillId="0" borderId="16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textRotation="60"/>
    </xf>
    <xf numFmtId="181" fontId="6" fillId="0" borderId="16" xfId="0" applyNumberFormat="1" applyFont="1" applyBorder="1" applyAlignment="1">
      <alignment horizontal="center"/>
    </xf>
    <xf numFmtId="181" fontId="3" fillId="0" borderId="16" xfId="0" applyNumberFormat="1" applyFont="1" applyBorder="1" applyAlignment="1">
      <alignment horizontal="center" vertical="center" textRotation="90"/>
    </xf>
    <xf numFmtId="182" fontId="5" fillId="0" borderId="16" xfId="4" applyNumberFormat="1" applyFont="1" applyBorder="1" applyAlignment="1">
      <alignment horizontal="center" vertical="center"/>
    </xf>
    <xf numFmtId="0" fontId="3" fillId="0" borderId="0" xfId="0" applyFont="1"/>
    <xf numFmtId="0" fontId="11" fillId="0" borderId="16" xfId="0" applyFont="1" applyBorder="1" applyAlignment="1">
      <alignment horizontal="center"/>
    </xf>
    <xf numFmtId="0" fontId="10" fillId="0" borderId="16" xfId="0" applyFont="1" applyBorder="1" applyAlignment="1">
      <alignment horizontal="center" vertical="top"/>
    </xf>
    <xf numFmtId="0" fontId="1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right"/>
    </xf>
    <xf numFmtId="0" fontId="0" fillId="0" borderId="16" xfId="0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9" fillId="0" borderId="16" xfId="0" applyFont="1" applyBorder="1"/>
    <xf numFmtId="0" fontId="0" fillId="0" borderId="16" xfId="0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left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5" fillId="0" borderId="0" xfId="0" applyFont="1" applyAlignment="1">
      <alignment horizontal="right"/>
    </xf>
    <xf numFmtId="0" fontId="1" fillId="0" borderId="16" xfId="0" applyFont="1" applyBorder="1" applyAlignment="1">
      <alignment horizontal="right" vertical="center" textRotation="90"/>
    </xf>
    <xf numFmtId="0" fontId="1" fillId="0" borderId="16" xfId="0" applyFont="1" applyBorder="1" applyAlignment="1">
      <alignment horizontal="left" vertical="center" textRotation="90"/>
    </xf>
    <xf numFmtId="182" fontId="5" fillId="0" borderId="16" xfId="4" applyNumberFormat="1" applyFont="1" applyBorder="1" applyAlignment="1">
      <alignment horizontal="center"/>
    </xf>
    <xf numFmtId="176" fontId="5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0" fillId="2" borderId="16" xfId="0" applyFont="1" applyFill="1" applyBorder="1" applyAlignment="1">
      <alignment vertical="center"/>
    </xf>
    <xf numFmtId="0" fontId="2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81" fontId="6" fillId="0" borderId="16" xfId="0" applyNumberFormat="1" applyFont="1" applyBorder="1" applyAlignment="1">
      <alignment horizontal="center" vertical="center"/>
    </xf>
    <xf numFmtId="181" fontId="14" fillId="0" borderId="16" xfId="0" applyNumberFormat="1" applyFont="1" applyFill="1" applyBorder="1" applyAlignment="1">
      <alignment horizontal="center" vertical="center"/>
    </xf>
    <xf numFmtId="181" fontId="0" fillId="0" borderId="16" xfId="0" applyNumberFormat="1" applyBorder="1" applyAlignment="1">
      <alignment horizontal="center"/>
    </xf>
    <xf numFmtId="181" fontId="5" fillId="0" borderId="16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178" fontId="6" fillId="0" borderId="16" xfId="0" applyNumberFormat="1" applyFont="1" applyBorder="1" applyAlignment="1">
      <alignment horizontal="center"/>
    </xf>
    <xf numFmtId="181" fontId="5" fillId="0" borderId="16" xfId="0" applyNumberFormat="1" applyFont="1" applyBorder="1" applyAlignment="1">
      <alignment horizontal="center" vertical="center" textRotation="90"/>
    </xf>
    <xf numFmtId="181" fontId="5" fillId="0" borderId="16" xfId="4" applyNumberFormat="1" applyFont="1" applyBorder="1" applyAlignment="1">
      <alignment horizontal="center" vertical="center"/>
    </xf>
    <xf numFmtId="181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9" fillId="0" borderId="16" xfId="0" applyFont="1" applyBorder="1" applyAlignment="1"/>
    <xf numFmtId="0" fontId="5" fillId="0" borderId="16" xfId="0" applyFont="1" applyBorder="1" applyAlignment="1">
      <alignment horizontal="right"/>
    </xf>
    <xf numFmtId="0" fontId="17" fillId="0" borderId="16" xfId="0" applyFont="1" applyBorder="1" applyAlignment="1">
      <alignment horizontal="right" vertical="top"/>
    </xf>
    <xf numFmtId="0" fontId="5" fillId="0" borderId="16" xfId="4" applyNumberFormat="1" applyFont="1" applyBorder="1" applyAlignment="1">
      <alignment horizontal="center"/>
    </xf>
    <xf numFmtId="0" fontId="9" fillId="0" borderId="16" xfId="0" applyFont="1" applyBorder="1" applyAlignment="1" quotePrefix="1">
      <alignment vertical="center"/>
    </xf>
    <xf numFmtId="0" fontId="3" fillId="0" borderId="16" xfId="0" applyFont="1" applyBorder="1" applyAlignment="1" quotePrefix="1">
      <alignment horizontal="center" textRotation="60"/>
    </xf>
    <xf numFmtId="0" fontId="9" fillId="0" borderId="16" xfId="0" applyFont="1" applyBorder="1" applyAlignment="1" quotePrefix="1">
      <alignment horizontal="lef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56"/>
  <sheetViews>
    <sheetView showGridLines="0" tabSelected="1" zoomScale="85" zoomScaleNormal="85" zoomScaleSheetLayoutView="82" workbookViewId="0">
      <selection activeCell="A1" sqref="A1"/>
    </sheetView>
  </sheetViews>
  <sheetFormatPr defaultColWidth="9" defaultRowHeight="12.75"/>
  <cols>
    <col min="1" max="8" width="5.28571428571429" customWidth="1"/>
    <col min="9" max="9" width="6.28571428571429" customWidth="1"/>
    <col min="10" max="10" width="7.14285714285714" customWidth="1"/>
    <col min="11" max="11" width="4" customWidth="1"/>
    <col min="12" max="14" width="5" customWidth="1"/>
    <col min="15" max="15" width="5.71428571428571" customWidth="1"/>
    <col min="16" max="16" width="5.28571428571429" customWidth="1"/>
    <col min="17" max="24" width="5" customWidth="1"/>
    <col min="25" max="26" width="5.28571428571429" customWidth="1"/>
    <col min="27" max="28" width="5" customWidth="1"/>
    <col min="29" max="29" width="5.42857142857143" customWidth="1"/>
    <col min="30" max="32" width="5" customWidth="1"/>
    <col min="33" max="33" width="5.42857142857143" customWidth="1"/>
    <col min="34" max="35" width="5" customWidth="1"/>
    <col min="36" max="36" width="2.85714285714286" customWidth="1"/>
    <col min="37" max="37" width="3.14285714285714" customWidth="1"/>
  </cols>
  <sheetData>
    <row r="1" customHeight="1" spans="1:37">
      <c r="A1" s="63"/>
      <c r="B1" s="63"/>
      <c r="C1" s="63"/>
      <c r="D1" s="63"/>
      <c r="E1" s="63"/>
      <c r="F1" s="63"/>
      <c r="G1" s="63"/>
      <c r="H1" s="63"/>
      <c r="I1" s="63"/>
      <c r="J1" s="63"/>
      <c r="K1" s="46"/>
      <c r="L1" s="85" t="s">
        <v>0</v>
      </c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customHeight="1" spans="1:37">
      <c r="A2" s="47" t="s">
        <v>1</v>
      </c>
      <c r="B2" s="63"/>
      <c r="C2" s="63"/>
      <c r="D2" s="96" t="s">
        <v>2</v>
      </c>
      <c r="E2" s="78"/>
      <c r="F2" s="77"/>
      <c r="G2" s="77"/>
      <c r="H2" s="63"/>
      <c r="I2" s="63"/>
      <c r="J2" s="63"/>
      <c r="K2" s="46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46"/>
      <c r="AB2" s="46"/>
      <c r="AC2" s="46"/>
      <c r="AD2" s="46"/>
      <c r="AE2" s="46"/>
      <c r="AF2" s="46"/>
      <c r="AG2" s="46"/>
      <c r="AH2" s="46"/>
      <c r="AI2" s="46"/>
      <c r="AJ2" s="94" t="s">
        <v>3</v>
      </c>
      <c r="AK2" s="62"/>
    </row>
    <row r="3" spans="1:37">
      <c r="A3" s="47" t="s">
        <v>4</v>
      </c>
      <c r="B3" s="63"/>
      <c r="C3" s="63"/>
      <c r="D3" s="96" t="s">
        <v>5</v>
      </c>
      <c r="E3" s="78"/>
      <c r="F3" s="77"/>
      <c r="G3" s="77"/>
      <c r="H3" s="63"/>
      <c r="I3" s="63"/>
      <c r="J3" s="63"/>
      <c r="K3" s="46"/>
      <c r="L3" s="46"/>
      <c r="M3" s="60" t="s">
        <v>6</v>
      </c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ht="15.75" spans="1:37">
      <c r="A4" s="47" t="s">
        <v>7</v>
      </c>
      <c r="B4" s="63"/>
      <c r="C4" s="63"/>
      <c r="D4" s="96" t="s">
        <v>8</v>
      </c>
      <c r="E4" s="78"/>
      <c r="F4" s="77"/>
      <c r="G4" s="77"/>
      <c r="H4" s="63"/>
      <c r="I4" s="63"/>
      <c r="J4" s="63"/>
      <c r="K4" s="46"/>
      <c r="L4" s="46"/>
      <c r="M4" s="86" t="s">
        <v>9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46"/>
      <c r="AA4" s="46"/>
      <c r="AB4" s="46"/>
      <c r="AC4" s="46"/>
      <c r="AD4" s="46"/>
      <c r="AE4" s="93" t="s">
        <v>10</v>
      </c>
      <c r="AF4" s="46" t="s">
        <v>11</v>
      </c>
      <c r="AG4" s="46"/>
      <c r="AH4" s="46"/>
      <c r="AI4" s="46"/>
      <c r="AJ4" s="46"/>
      <c r="AK4" s="46"/>
    </row>
    <row r="5" spans="1:37">
      <c r="A5" s="47" t="s">
        <v>12</v>
      </c>
      <c r="B5" s="63"/>
      <c r="C5" s="63"/>
      <c r="D5" s="96" t="s">
        <v>13</v>
      </c>
      <c r="E5" s="78"/>
      <c r="F5" s="77"/>
      <c r="G5" s="77"/>
      <c r="H5" s="63"/>
      <c r="I5" s="63"/>
      <c r="J5" s="63"/>
      <c r="K5" s="46"/>
      <c r="L5" s="46"/>
      <c r="M5" s="46"/>
      <c r="N5" s="46"/>
      <c r="O5" s="46"/>
      <c r="P5" s="62" t="s">
        <v>14</v>
      </c>
      <c r="Q5" s="46"/>
      <c r="R5" s="62" t="s">
        <v>15</v>
      </c>
      <c r="S5" s="65"/>
      <c r="T5" s="65"/>
      <c r="U5" s="46"/>
      <c r="V5" s="46"/>
      <c r="W5" s="46"/>
      <c r="X5" s="46"/>
      <c r="Y5" s="46"/>
      <c r="Z5" s="46"/>
      <c r="AA5" s="46"/>
      <c r="AB5" s="46"/>
      <c r="AC5" s="46"/>
      <c r="AD5" s="46"/>
      <c r="AE5" s="93" t="s">
        <v>16</v>
      </c>
      <c r="AF5" s="46" t="s">
        <v>17</v>
      </c>
      <c r="AG5" s="46"/>
      <c r="AH5" s="46"/>
      <c r="AI5" s="46"/>
      <c r="AJ5" s="46"/>
      <c r="AK5" s="46"/>
    </row>
    <row r="6" spans="1:37">
      <c r="A6" s="47" t="s">
        <v>18</v>
      </c>
      <c r="B6" s="63"/>
      <c r="C6" s="63"/>
      <c r="D6" s="96" t="s">
        <v>19</v>
      </c>
      <c r="E6" s="78"/>
      <c r="F6" s="77"/>
      <c r="G6" s="77"/>
      <c r="H6" s="63"/>
      <c r="I6" s="63"/>
      <c r="J6" s="63"/>
      <c r="K6" s="46"/>
      <c r="L6" s="46"/>
      <c r="M6" s="46"/>
      <c r="N6" s="46"/>
      <c r="O6" s="46"/>
      <c r="P6" s="46"/>
      <c r="Q6" s="46"/>
      <c r="R6" s="62" t="s">
        <v>20</v>
      </c>
      <c r="S6" s="92"/>
      <c r="T6" s="92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</row>
    <row r="7" ht="7.5" customHeight="1" spans="1:3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</row>
    <row r="8" customHeight="1" spans="1:37">
      <c r="A8" s="79" t="s">
        <v>21</v>
      </c>
      <c r="B8" s="79"/>
      <c r="C8" s="79"/>
      <c r="D8" s="79"/>
      <c r="E8" s="79"/>
      <c r="F8" s="79"/>
      <c r="G8" s="79"/>
      <c r="H8" s="79"/>
      <c r="I8" s="79"/>
      <c r="J8" s="79"/>
      <c r="K8" s="52" t="s">
        <v>22</v>
      </c>
      <c r="L8" s="53" t="s">
        <v>23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73" t="s">
        <v>24</v>
      </c>
      <c r="AK8" s="74" t="s">
        <v>25</v>
      </c>
    </row>
    <row r="9" spans="1:37">
      <c r="A9" s="79" t="s">
        <v>26</v>
      </c>
      <c r="B9" s="79"/>
      <c r="C9" s="79"/>
      <c r="D9" s="79"/>
      <c r="E9" s="79"/>
      <c r="F9" s="79"/>
      <c r="G9" s="79"/>
      <c r="H9" s="79"/>
      <c r="I9" s="79"/>
      <c r="J9" s="79"/>
      <c r="K9" s="52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73"/>
      <c r="AK9" s="74"/>
    </row>
    <row r="10" ht="13.5" customHeight="1" spans="1:37">
      <c r="A10" s="80">
        <v>5</v>
      </c>
      <c r="B10" s="80">
        <v>10</v>
      </c>
      <c r="C10" s="80">
        <v>15</v>
      </c>
      <c r="D10" s="80">
        <v>30</v>
      </c>
      <c r="E10" s="80">
        <v>45</v>
      </c>
      <c r="F10" s="80">
        <v>60</v>
      </c>
      <c r="G10" s="80">
        <v>120</v>
      </c>
      <c r="H10" s="80">
        <v>3</v>
      </c>
      <c r="I10" s="80">
        <v>6</v>
      </c>
      <c r="J10" s="80">
        <v>12</v>
      </c>
      <c r="K10" s="52"/>
      <c r="L10" s="97" t="s">
        <v>27</v>
      </c>
      <c r="M10" s="97" t="s">
        <v>28</v>
      </c>
      <c r="N10" s="97" t="s">
        <v>29</v>
      </c>
      <c r="O10" s="97" t="s">
        <v>30</v>
      </c>
      <c r="P10" s="97" t="s">
        <v>31</v>
      </c>
      <c r="Q10" s="97" t="s">
        <v>32</v>
      </c>
      <c r="R10" s="97" t="s">
        <v>33</v>
      </c>
      <c r="S10" s="97" t="s">
        <v>34</v>
      </c>
      <c r="T10" s="97" t="s">
        <v>35</v>
      </c>
      <c r="U10" s="97" t="s">
        <v>36</v>
      </c>
      <c r="V10" s="97" t="s">
        <v>37</v>
      </c>
      <c r="W10" s="97" t="s">
        <v>38</v>
      </c>
      <c r="X10" s="97" t="s">
        <v>39</v>
      </c>
      <c r="Y10" s="97" t="s">
        <v>40</v>
      </c>
      <c r="Z10" s="97" t="s">
        <v>41</v>
      </c>
      <c r="AA10" s="97" t="s">
        <v>42</v>
      </c>
      <c r="AB10" s="97" t="s">
        <v>43</v>
      </c>
      <c r="AC10" s="97" t="s">
        <v>44</v>
      </c>
      <c r="AD10" s="97" t="s">
        <v>45</v>
      </c>
      <c r="AE10" s="97" t="s">
        <v>46</v>
      </c>
      <c r="AF10" s="97" t="s">
        <v>47</v>
      </c>
      <c r="AG10" s="97" t="s">
        <v>48</v>
      </c>
      <c r="AH10" s="97" t="s">
        <v>49</v>
      </c>
      <c r="AI10" s="97" t="s">
        <v>50</v>
      </c>
      <c r="AJ10" s="73"/>
      <c r="AK10" s="74"/>
    </row>
    <row r="11" spans="1:37">
      <c r="A11" s="80" t="s">
        <v>51</v>
      </c>
      <c r="B11" s="80" t="s">
        <v>51</v>
      </c>
      <c r="C11" s="80" t="s">
        <v>51</v>
      </c>
      <c r="D11" s="80" t="s">
        <v>51</v>
      </c>
      <c r="E11" s="80" t="s">
        <v>51</v>
      </c>
      <c r="F11" s="80" t="s">
        <v>51</v>
      </c>
      <c r="G11" s="80" t="s">
        <v>51</v>
      </c>
      <c r="H11" s="80" t="s">
        <v>52</v>
      </c>
      <c r="I11" s="80" t="s">
        <v>52</v>
      </c>
      <c r="J11" s="80" t="s">
        <v>52</v>
      </c>
      <c r="K11" s="52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73"/>
      <c r="AK11" s="74"/>
    </row>
    <row r="12" ht="13.5" spans="1:37">
      <c r="A12" s="55">
        <v>0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87">
        <v>1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55">
        <v>0</v>
      </c>
      <c r="AA12" s="55">
        <v>0</v>
      </c>
      <c r="AB12" s="55">
        <v>0</v>
      </c>
      <c r="AC12" s="55">
        <v>0</v>
      </c>
      <c r="AD12" s="55">
        <v>0</v>
      </c>
      <c r="AE12" s="55">
        <v>0</v>
      </c>
      <c r="AF12" s="55">
        <v>0</v>
      </c>
      <c r="AG12" s="55">
        <v>0</v>
      </c>
      <c r="AH12" s="55">
        <v>0</v>
      </c>
      <c r="AI12" s="55">
        <v>0</v>
      </c>
      <c r="AJ12" s="75">
        <f t="shared" ref="AJ12:AJ28" si="0">SUM(L12:AI12)</f>
        <v>0</v>
      </c>
      <c r="AK12" s="75"/>
    </row>
    <row r="13" ht="13.5" spans="1:37">
      <c r="A13" s="55">
        <v>0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87">
        <v>2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75">
        <f t="shared" si="0"/>
        <v>0</v>
      </c>
      <c r="AK13" s="75"/>
    </row>
    <row r="14" ht="13.5" spans="1:37">
      <c r="A14" s="55">
        <v>0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87">
        <v>3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55">
        <v>0</v>
      </c>
      <c r="AF14" s="55">
        <v>0</v>
      </c>
      <c r="AG14" s="55">
        <v>0</v>
      </c>
      <c r="AH14" s="55">
        <v>0</v>
      </c>
      <c r="AI14" s="55">
        <v>0</v>
      </c>
      <c r="AJ14" s="75">
        <f t="shared" si="0"/>
        <v>0</v>
      </c>
      <c r="AK14" s="75"/>
    </row>
    <row r="15" ht="13.5" spans="1:37">
      <c r="A15" s="55">
        <v>0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87">
        <v>4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55">
        <v>0</v>
      </c>
      <c r="AF15" s="55">
        <v>0</v>
      </c>
      <c r="AG15" s="55">
        <v>0</v>
      </c>
      <c r="AH15" s="55">
        <v>0</v>
      </c>
      <c r="AI15" s="55">
        <v>0</v>
      </c>
      <c r="AJ15" s="75">
        <f t="shared" si="0"/>
        <v>0</v>
      </c>
      <c r="AK15" s="75"/>
    </row>
    <row r="16" ht="13.5" spans="1:37">
      <c r="A16" s="55">
        <v>0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87">
        <v>5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55">
        <v>0</v>
      </c>
      <c r="AA16" s="55">
        <v>0</v>
      </c>
      <c r="AB16" s="55">
        <v>0</v>
      </c>
      <c r="AC16" s="55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75">
        <f t="shared" si="0"/>
        <v>0</v>
      </c>
      <c r="AK16" s="75"/>
    </row>
    <row r="17" ht="13.5" spans="1:37">
      <c r="A17" s="55">
        <v>0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87">
        <v>6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55">
        <v>0</v>
      </c>
      <c r="AA17" s="55">
        <v>0</v>
      </c>
      <c r="AB17" s="55">
        <v>0</v>
      </c>
      <c r="AC17" s="55">
        <v>0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75">
        <f t="shared" si="0"/>
        <v>0</v>
      </c>
      <c r="AK17" s="75"/>
    </row>
    <row r="18" ht="13.5" spans="1:37">
      <c r="A18" s="55">
        <v>0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87">
        <v>7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55">
        <v>0</v>
      </c>
      <c r="AA18" s="55">
        <v>0</v>
      </c>
      <c r="AB18" s="55">
        <v>0</v>
      </c>
      <c r="AC18" s="55">
        <v>0</v>
      </c>
      <c r="AD18" s="55">
        <v>0</v>
      </c>
      <c r="AE18" s="55">
        <v>0</v>
      </c>
      <c r="AF18" s="55">
        <v>0</v>
      </c>
      <c r="AG18" s="55">
        <v>0</v>
      </c>
      <c r="AH18" s="55">
        <v>0</v>
      </c>
      <c r="AI18" s="55">
        <v>0</v>
      </c>
      <c r="AJ18" s="75">
        <f t="shared" si="0"/>
        <v>0</v>
      </c>
      <c r="AK18" s="75"/>
    </row>
    <row r="19" ht="13.5" spans="1:37">
      <c r="A19" s="55">
        <v>0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87">
        <v>8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  <c r="AG19" s="55">
        <v>0</v>
      </c>
      <c r="AH19" s="55">
        <v>0</v>
      </c>
      <c r="AI19" s="55">
        <v>0</v>
      </c>
      <c r="AJ19" s="75">
        <f t="shared" si="0"/>
        <v>0</v>
      </c>
      <c r="AK19" s="75"/>
    </row>
    <row r="20" ht="13.5" spans="1:37">
      <c r="A20" s="55">
        <v>0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87">
        <v>9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55">
        <v>0</v>
      </c>
      <c r="AA20" s="55">
        <v>0</v>
      </c>
      <c r="AB20" s="55">
        <v>0</v>
      </c>
      <c r="AC20" s="55">
        <v>0</v>
      </c>
      <c r="AD20" s="55">
        <v>0</v>
      </c>
      <c r="AE20" s="55">
        <v>0</v>
      </c>
      <c r="AF20" s="55">
        <v>0</v>
      </c>
      <c r="AG20" s="55">
        <v>0</v>
      </c>
      <c r="AH20" s="55">
        <v>0</v>
      </c>
      <c r="AI20" s="55">
        <v>0</v>
      </c>
      <c r="AJ20" s="75">
        <f t="shared" si="0"/>
        <v>0</v>
      </c>
      <c r="AK20" s="75"/>
    </row>
    <row r="21" ht="13.5" spans="1:37">
      <c r="A21" s="55">
        <v>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87">
        <v>10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55">
        <v>0</v>
      </c>
      <c r="AA21" s="55">
        <v>0</v>
      </c>
      <c r="AB21" s="55">
        <v>0</v>
      </c>
      <c r="AC21" s="55">
        <v>0</v>
      </c>
      <c r="AD21" s="55">
        <v>0</v>
      </c>
      <c r="AE21" s="55">
        <v>0</v>
      </c>
      <c r="AF21" s="55">
        <v>0</v>
      </c>
      <c r="AG21" s="55">
        <v>0</v>
      </c>
      <c r="AH21" s="55">
        <v>0</v>
      </c>
      <c r="AI21" s="55">
        <v>0</v>
      </c>
      <c r="AJ21" s="75">
        <f t="shared" si="0"/>
        <v>0</v>
      </c>
      <c r="AK21" s="75"/>
    </row>
    <row r="22" ht="13.5" spans="1:37">
      <c r="A22" s="55">
        <v>0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87">
        <v>11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  <c r="AG22" s="55">
        <v>0</v>
      </c>
      <c r="AH22" s="55">
        <v>0</v>
      </c>
      <c r="AI22" s="55">
        <v>0</v>
      </c>
      <c r="AJ22" s="75">
        <f t="shared" si="0"/>
        <v>0</v>
      </c>
      <c r="AK22" s="75"/>
    </row>
    <row r="23" ht="13.5" spans="1:37">
      <c r="A23" s="81">
        <v>0</v>
      </c>
      <c r="B23" s="81">
        <v>0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K23" s="87">
        <v>12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  <c r="AG23" s="55">
        <v>0</v>
      </c>
      <c r="AH23" s="55">
        <v>0</v>
      </c>
      <c r="AI23" s="55">
        <v>0</v>
      </c>
      <c r="AJ23" s="75">
        <f t="shared" si="0"/>
        <v>0</v>
      </c>
      <c r="AK23" s="75"/>
    </row>
    <row r="24" ht="13.5" spans="1:37">
      <c r="A24" s="55">
        <v>0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87">
        <v>13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55">
        <v>0</v>
      </c>
      <c r="AF24" s="55">
        <v>0</v>
      </c>
      <c r="AG24" s="55">
        <v>0</v>
      </c>
      <c r="AH24" s="55">
        <v>0</v>
      </c>
      <c r="AI24" s="55">
        <v>0</v>
      </c>
      <c r="AJ24" s="75">
        <f t="shared" si="0"/>
        <v>0</v>
      </c>
      <c r="AK24" s="75"/>
    </row>
    <row r="25" ht="13.5" spans="1:37">
      <c r="A25" s="55">
        <v>0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87">
        <v>14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55">
        <v>0</v>
      </c>
      <c r="AF25" s="55">
        <v>0</v>
      </c>
      <c r="AG25" s="55">
        <v>0</v>
      </c>
      <c r="AH25" s="55">
        <v>0</v>
      </c>
      <c r="AI25" s="55">
        <v>0</v>
      </c>
      <c r="AJ25" s="75">
        <f t="shared" si="0"/>
        <v>0</v>
      </c>
      <c r="AK25" s="75"/>
    </row>
    <row r="26" ht="13.5" spans="1:37">
      <c r="A26" s="55">
        <v>0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87">
        <v>15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Z26" s="55">
        <v>0</v>
      </c>
      <c r="AA26" s="55">
        <v>0</v>
      </c>
      <c r="AB26" s="55">
        <v>0</v>
      </c>
      <c r="AC26" s="55">
        <v>0</v>
      </c>
      <c r="AD26" s="55">
        <v>0</v>
      </c>
      <c r="AE26" s="55">
        <v>0</v>
      </c>
      <c r="AF26" s="55">
        <v>0</v>
      </c>
      <c r="AG26" s="55">
        <v>0</v>
      </c>
      <c r="AH26" s="55">
        <v>0</v>
      </c>
      <c r="AI26" s="55">
        <v>0</v>
      </c>
      <c r="AJ26" s="75">
        <f t="shared" si="0"/>
        <v>0</v>
      </c>
      <c r="AK26" s="75"/>
    </row>
    <row r="27" ht="13.5" spans="1:37">
      <c r="A27" s="55">
        <v>0</v>
      </c>
      <c r="B27" s="55">
        <v>0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87">
        <v>16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55">
        <v>0</v>
      </c>
      <c r="AA27" s="55">
        <v>0</v>
      </c>
      <c r="AB27" s="55">
        <v>0</v>
      </c>
      <c r="AC27" s="55">
        <v>0</v>
      </c>
      <c r="AD27" s="55">
        <v>0</v>
      </c>
      <c r="AE27" s="55">
        <v>0</v>
      </c>
      <c r="AF27" s="55">
        <v>0</v>
      </c>
      <c r="AG27" s="55">
        <v>0</v>
      </c>
      <c r="AH27" s="55">
        <v>0</v>
      </c>
      <c r="AI27" s="55">
        <v>0</v>
      </c>
      <c r="AJ27" s="75">
        <f t="shared" si="0"/>
        <v>0</v>
      </c>
      <c r="AK27" s="75"/>
    </row>
    <row r="28" ht="13.5" spans="1:37">
      <c r="A28" s="82">
        <v>0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7">
        <v>17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55">
        <v>0</v>
      </c>
      <c r="AA28" s="55">
        <v>0</v>
      </c>
      <c r="AB28" s="55">
        <v>0</v>
      </c>
      <c r="AC28" s="55">
        <v>0</v>
      </c>
      <c r="AD28" s="55">
        <v>0</v>
      </c>
      <c r="AE28" s="55">
        <v>0</v>
      </c>
      <c r="AF28" s="55">
        <v>0</v>
      </c>
      <c r="AG28" s="55">
        <v>0</v>
      </c>
      <c r="AH28" s="55">
        <v>0</v>
      </c>
      <c r="AI28" s="55">
        <v>0</v>
      </c>
      <c r="AJ28" s="75">
        <f t="shared" si="0"/>
        <v>0</v>
      </c>
      <c r="AK28" s="75"/>
    </row>
    <row r="29" ht="13.5" spans="1:37">
      <c r="A29" s="55">
        <v>0</v>
      </c>
      <c r="B29" s="55">
        <v>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87">
        <v>18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0</v>
      </c>
      <c r="AD29" s="55">
        <v>0</v>
      </c>
      <c r="AE29" s="55">
        <v>0</v>
      </c>
      <c r="AF29" s="55">
        <v>0</v>
      </c>
      <c r="AG29" s="55">
        <v>0</v>
      </c>
      <c r="AH29" s="55">
        <v>0</v>
      </c>
      <c r="AI29" s="55">
        <v>0</v>
      </c>
      <c r="AJ29" s="95" t="s">
        <v>53</v>
      </c>
      <c r="AK29" s="95"/>
    </row>
    <row r="30" ht="13.5" spans="1:37">
      <c r="A30" s="55">
        <v>0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87">
        <v>19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55">
        <v>0</v>
      </c>
      <c r="AA30" s="55">
        <v>0</v>
      </c>
      <c r="AB30" s="55">
        <v>0</v>
      </c>
      <c r="AC30" s="55">
        <v>0</v>
      </c>
      <c r="AD30" s="55">
        <v>0</v>
      </c>
      <c r="AE30" s="55">
        <v>0</v>
      </c>
      <c r="AF30" s="55">
        <v>0</v>
      </c>
      <c r="AG30" s="55">
        <v>0</v>
      </c>
      <c r="AH30" s="55">
        <v>0</v>
      </c>
      <c r="AI30" s="55">
        <v>0</v>
      </c>
      <c r="AJ30" s="75">
        <f t="shared" ref="AJ30:AJ42" si="1">SUM(L30:AI30)</f>
        <v>0</v>
      </c>
      <c r="AK30" s="75"/>
    </row>
    <row r="31" ht="13.5" spans="1:37">
      <c r="A31" s="55">
        <v>0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87">
        <v>20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55">
        <v>0</v>
      </c>
      <c r="AA31" s="55">
        <v>0</v>
      </c>
      <c r="AB31" s="55">
        <v>0</v>
      </c>
      <c r="AC31" s="55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75">
        <f t="shared" si="1"/>
        <v>0</v>
      </c>
      <c r="AK31" s="75"/>
    </row>
    <row r="32" ht="13.5" spans="1:37">
      <c r="A32" s="55">
        <v>0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87">
        <v>21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55">
        <v>0</v>
      </c>
      <c r="AA32" s="55">
        <v>0</v>
      </c>
      <c r="AB32" s="55">
        <v>0</v>
      </c>
      <c r="AC32" s="55">
        <v>0</v>
      </c>
      <c r="AD32" s="55">
        <v>0</v>
      </c>
      <c r="AE32" s="55">
        <v>0</v>
      </c>
      <c r="AF32" s="55">
        <v>0</v>
      </c>
      <c r="AG32" s="55">
        <v>0</v>
      </c>
      <c r="AH32" s="55">
        <v>0</v>
      </c>
      <c r="AI32" s="55">
        <v>0</v>
      </c>
      <c r="AJ32" s="75">
        <f t="shared" si="1"/>
        <v>0</v>
      </c>
      <c r="AK32" s="75"/>
    </row>
    <row r="33" ht="13.5" spans="1:37">
      <c r="A33" s="55">
        <v>0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87">
        <v>22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55">
        <v>0</v>
      </c>
      <c r="AA33" s="55">
        <v>0</v>
      </c>
      <c r="AB33" s="55">
        <v>0</v>
      </c>
      <c r="AC33" s="55">
        <v>0</v>
      </c>
      <c r="AD33" s="55">
        <v>0</v>
      </c>
      <c r="AE33" s="55">
        <v>0</v>
      </c>
      <c r="AF33" s="55">
        <v>0</v>
      </c>
      <c r="AG33" s="55">
        <v>0</v>
      </c>
      <c r="AH33" s="55">
        <v>0</v>
      </c>
      <c r="AI33" s="55">
        <v>0</v>
      </c>
      <c r="AJ33" s="75">
        <f t="shared" si="1"/>
        <v>0</v>
      </c>
      <c r="AK33" s="75"/>
    </row>
    <row r="34" ht="13.5" spans="1:37">
      <c r="A34" s="55">
        <v>0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87">
        <v>23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55">
        <v>0</v>
      </c>
      <c r="AF34" s="55">
        <v>0</v>
      </c>
      <c r="AG34" s="55">
        <v>0</v>
      </c>
      <c r="AH34" s="55">
        <v>0</v>
      </c>
      <c r="AI34" s="55">
        <v>0</v>
      </c>
      <c r="AJ34" s="75">
        <f t="shared" si="1"/>
        <v>0</v>
      </c>
      <c r="AK34" s="75"/>
    </row>
    <row r="35" ht="13.5" spans="1:37">
      <c r="A35" s="55">
        <v>0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87">
        <v>24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55">
        <v>0</v>
      </c>
      <c r="AA35" s="55">
        <v>0</v>
      </c>
      <c r="AB35" s="55">
        <v>0</v>
      </c>
      <c r="AC35" s="55">
        <v>0</v>
      </c>
      <c r="AD35" s="55">
        <v>0</v>
      </c>
      <c r="AE35" s="55">
        <v>0</v>
      </c>
      <c r="AF35" s="55">
        <v>0</v>
      </c>
      <c r="AG35" s="55">
        <v>0</v>
      </c>
      <c r="AH35" s="55">
        <v>0</v>
      </c>
      <c r="AI35" s="55">
        <v>0</v>
      </c>
      <c r="AJ35" s="75">
        <f t="shared" si="1"/>
        <v>0</v>
      </c>
      <c r="AK35" s="75"/>
    </row>
    <row r="36" ht="13.5" spans="1:37">
      <c r="A36" s="55">
        <v>0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87">
        <v>25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55">
        <v>0</v>
      </c>
      <c r="AA36" s="55">
        <v>0</v>
      </c>
      <c r="AB36" s="55">
        <v>0</v>
      </c>
      <c r="AC36" s="55">
        <v>0</v>
      </c>
      <c r="AD36" s="55">
        <v>0</v>
      </c>
      <c r="AE36" s="55">
        <v>0</v>
      </c>
      <c r="AF36" s="55">
        <v>0</v>
      </c>
      <c r="AG36" s="55">
        <v>0</v>
      </c>
      <c r="AH36" s="55">
        <v>0</v>
      </c>
      <c r="AI36" s="55">
        <v>0</v>
      </c>
      <c r="AJ36" s="75">
        <f t="shared" si="1"/>
        <v>0</v>
      </c>
      <c r="AK36" s="75"/>
    </row>
    <row r="37" ht="13.5" spans="1:37">
      <c r="A37" s="55">
        <v>0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87">
        <v>26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55">
        <v>0</v>
      </c>
      <c r="AA37" s="55">
        <v>0</v>
      </c>
      <c r="AB37" s="55">
        <v>0</v>
      </c>
      <c r="AC37" s="55">
        <v>0</v>
      </c>
      <c r="AD37" s="55">
        <v>0</v>
      </c>
      <c r="AE37" s="55">
        <v>0</v>
      </c>
      <c r="AF37" s="55">
        <v>0</v>
      </c>
      <c r="AG37" s="55">
        <v>0</v>
      </c>
      <c r="AH37" s="55">
        <v>0</v>
      </c>
      <c r="AI37" s="55">
        <v>0</v>
      </c>
      <c r="AJ37" s="75">
        <f t="shared" si="1"/>
        <v>0</v>
      </c>
      <c r="AK37" s="75"/>
    </row>
    <row r="38" ht="13.5" spans="1:37">
      <c r="A38" s="55">
        <v>0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87">
        <v>27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75">
        <f t="shared" si="1"/>
        <v>0</v>
      </c>
      <c r="AK38" s="75"/>
    </row>
    <row r="39" ht="13.5" spans="1:37">
      <c r="A39" s="55">
        <v>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87">
        <v>28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55">
        <v>0</v>
      </c>
      <c r="AA39" s="55">
        <v>0</v>
      </c>
      <c r="AB39" s="55">
        <v>0</v>
      </c>
      <c r="AC39" s="55">
        <v>0</v>
      </c>
      <c r="AD39" s="55">
        <v>0</v>
      </c>
      <c r="AE39" s="55">
        <v>0</v>
      </c>
      <c r="AF39" s="55">
        <v>0</v>
      </c>
      <c r="AG39" s="55">
        <v>0</v>
      </c>
      <c r="AH39" s="55">
        <v>0</v>
      </c>
      <c r="AI39" s="55">
        <v>0</v>
      </c>
      <c r="AJ39" s="75">
        <f t="shared" si="1"/>
        <v>0</v>
      </c>
      <c r="AK39" s="75"/>
    </row>
    <row r="40" ht="13.5" spans="1:37">
      <c r="A40" s="55">
        <v>0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87">
        <v>29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0</v>
      </c>
      <c r="AH40" s="55">
        <v>0</v>
      </c>
      <c r="AI40" s="55">
        <v>0</v>
      </c>
      <c r="AJ40" s="75">
        <f t="shared" si="1"/>
        <v>0</v>
      </c>
      <c r="AK40" s="75"/>
    </row>
    <row r="41" ht="13.5" spans="1:37">
      <c r="A41" s="55">
        <v>0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87">
        <v>30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75">
        <f t="shared" si="1"/>
        <v>0</v>
      </c>
      <c r="AK41" s="75"/>
    </row>
    <row r="42" ht="13.5" spans="1:37">
      <c r="A42" s="55">
        <v>0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87">
        <v>31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Z42" s="55">
        <v>0</v>
      </c>
      <c r="AA42" s="55">
        <v>0</v>
      </c>
      <c r="AB42" s="55">
        <v>0</v>
      </c>
      <c r="AC42" s="55">
        <v>0</v>
      </c>
      <c r="AD42" s="55">
        <v>0</v>
      </c>
      <c r="AE42" s="55">
        <v>0</v>
      </c>
      <c r="AF42" s="55">
        <v>0</v>
      </c>
      <c r="AG42" s="55">
        <v>0</v>
      </c>
      <c r="AH42" s="55">
        <v>0</v>
      </c>
      <c r="AI42" s="55">
        <v>0</v>
      </c>
      <c r="AJ42" s="75">
        <f t="shared" si="1"/>
        <v>0</v>
      </c>
      <c r="AK42" s="75"/>
    </row>
    <row r="43" ht="14.25" customHeight="1" spans="1:37">
      <c r="A43" s="83" t="s">
        <v>54</v>
      </c>
      <c r="B43" s="83"/>
      <c r="C43" s="83"/>
      <c r="D43" s="83"/>
      <c r="E43" s="83"/>
      <c r="F43" s="83"/>
      <c r="G43" s="83"/>
      <c r="H43" s="83"/>
      <c r="I43" s="83"/>
      <c r="J43" s="83"/>
      <c r="K43" s="88" t="s">
        <v>55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89">
        <v>0</v>
      </c>
      <c r="Z43" s="89">
        <v>0</v>
      </c>
      <c r="AA43" s="89">
        <v>0</v>
      </c>
      <c r="AB43" s="89">
        <v>0</v>
      </c>
      <c r="AC43" s="89">
        <v>0</v>
      </c>
      <c r="AD43" s="89">
        <v>0</v>
      </c>
      <c r="AE43" s="89">
        <v>0</v>
      </c>
      <c r="AF43" s="89">
        <v>0</v>
      </c>
      <c r="AG43" s="89">
        <v>0</v>
      </c>
      <c r="AH43" s="89">
        <v>0</v>
      </c>
      <c r="AI43" s="89">
        <v>0</v>
      </c>
      <c r="AJ43" s="57">
        <f>SUM(AJ12:AK42)</f>
        <v>0</v>
      </c>
      <c r="AK43" s="57"/>
    </row>
    <row r="44" spans="1:37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88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57"/>
      <c r="AK44" s="57"/>
    </row>
    <row r="45" ht="23.25" customHeight="1" spans="1:37">
      <c r="A45" s="84">
        <f t="shared" ref="A45:J45" si="2">MAX(A12:A42)</f>
        <v>0</v>
      </c>
      <c r="B45" s="84">
        <f t="shared" si="2"/>
        <v>0</v>
      </c>
      <c r="C45" s="84">
        <f t="shared" si="2"/>
        <v>0</v>
      </c>
      <c r="D45" s="84">
        <f t="shared" si="2"/>
        <v>0</v>
      </c>
      <c r="E45" s="84">
        <f t="shared" si="2"/>
        <v>0</v>
      </c>
      <c r="F45" s="84">
        <f t="shared" si="2"/>
        <v>0</v>
      </c>
      <c r="G45" s="84">
        <f t="shared" si="2"/>
        <v>0</v>
      </c>
      <c r="H45" s="84">
        <f t="shared" si="2"/>
        <v>0</v>
      </c>
      <c r="I45" s="84">
        <f t="shared" si="2"/>
        <v>0</v>
      </c>
      <c r="J45" s="84">
        <f t="shared" si="2"/>
        <v>0</v>
      </c>
      <c r="K45" s="88" t="s">
        <v>56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57">
        <f>MAX(AJ12:AK42)</f>
        <v>0</v>
      </c>
      <c r="AK45" s="57"/>
    </row>
    <row r="46" spans="1:37">
      <c r="A46" s="66" t="s">
        <v>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</row>
    <row r="47" spans="1:37">
      <c r="A47" s="66" t="s">
        <v>58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</row>
    <row r="48" spans="1:37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</row>
    <row r="49" spans="1:37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</row>
    <row r="50" spans="1:37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</row>
    <row r="51" spans="1:37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</row>
    <row r="52" spans="1:37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</row>
    <row r="53" spans="1:37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</row>
    <row r="54" spans="1:37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</row>
    <row r="55" spans="1:37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</row>
    <row r="56" spans="1:37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</row>
  </sheetData>
  <mergeCells count="95">
    <mergeCell ref="M3:Y3"/>
    <mergeCell ref="M4:Y4"/>
    <mergeCell ref="A8:J8"/>
    <mergeCell ref="A9:J9"/>
    <mergeCell ref="AJ12:AK12"/>
    <mergeCell ref="AJ13:AK13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J32:AK32"/>
    <mergeCell ref="AJ33:AK33"/>
    <mergeCell ref="AJ34:AK34"/>
    <mergeCell ref="AJ35:AK35"/>
    <mergeCell ref="AJ36:AK36"/>
    <mergeCell ref="AJ37:AK37"/>
    <mergeCell ref="AJ38:AK38"/>
    <mergeCell ref="AJ39:AK39"/>
    <mergeCell ref="AJ40:AK40"/>
    <mergeCell ref="AJ41:AK41"/>
    <mergeCell ref="AJ42:AK42"/>
    <mergeCell ref="A43:J43"/>
    <mergeCell ref="AJ45:AK45"/>
    <mergeCell ref="A46:K46"/>
    <mergeCell ref="A47:K47"/>
    <mergeCell ref="K8:K11"/>
    <mergeCell ref="K43:K44"/>
    <mergeCell ref="L10:L11"/>
    <mergeCell ref="L43:L44"/>
    <mergeCell ref="M10:M11"/>
    <mergeCell ref="M43:M44"/>
    <mergeCell ref="N10:N11"/>
    <mergeCell ref="N43:N44"/>
    <mergeCell ref="O10:O11"/>
    <mergeCell ref="O43:O44"/>
    <mergeCell ref="P10:P11"/>
    <mergeCell ref="P43:P44"/>
    <mergeCell ref="Q10:Q11"/>
    <mergeCell ref="Q43:Q44"/>
    <mergeCell ref="R10:R11"/>
    <mergeCell ref="R43:R44"/>
    <mergeCell ref="S10:S11"/>
    <mergeCell ref="S43:S44"/>
    <mergeCell ref="T10:T11"/>
    <mergeCell ref="T43:T44"/>
    <mergeCell ref="U10:U11"/>
    <mergeCell ref="U43:U44"/>
    <mergeCell ref="V10:V11"/>
    <mergeCell ref="V43:V44"/>
    <mergeCell ref="W10:W11"/>
    <mergeCell ref="W43:W44"/>
    <mergeCell ref="X10:X11"/>
    <mergeCell ref="X43:X44"/>
    <mergeCell ref="Y10:Y11"/>
    <mergeCell ref="Y43:Y44"/>
    <mergeCell ref="Z10:Z11"/>
    <mergeCell ref="Z43:Z44"/>
    <mergeCell ref="AA10:AA11"/>
    <mergeCell ref="AA43:AA44"/>
    <mergeCell ref="AB10:AB11"/>
    <mergeCell ref="AB43:AB44"/>
    <mergeCell ref="AC10:AC11"/>
    <mergeCell ref="AC43:AC44"/>
    <mergeCell ref="AD10:AD11"/>
    <mergeCell ref="AD43:AD44"/>
    <mergeCell ref="AE10:AE11"/>
    <mergeCell ref="AE43:AE44"/>
    <mergeCell ref="AF10:AF11"/>
    <mergeCell ref="AF43:AF44"/>
    <mergeCell ref="AG10:AG11"/>
    <mergeCell ref="AG43:AG44"/>
    <mergeCell ref="AH10:AH11"/>
    <mergeCell ref="AH43:AH44"/>
    <mergeCell ref="AI10:AI11"/>
    <mergeCell ref="AI43:AI44"/>
    <mergeCell ref="AJ8:AJ11"/>
    <mergeCell ref="AK8:AK11"/>
    <mergeCell ref="L1:Z2"/>
    <mergeCell ref="L8:AI9"/>
    <mergeCell ref="AJ43:AK44"/>
    <mergeCell ref="L46:AK47"/>
  </mergeCells>
  <printOptions horizontalCentered="1"/>
  <pageMargins left="0.25" right="0.25" top="0.75" bottom="0.75" header="0.3" footer="0.3"/>
  <pageSetup paperSize="9" scale="77" orientation="landscape" horizontalDpi="360" verticalDpi="360"/>
  <headerFooter alignWithMargins="0"/>
  <colBreaks count="1" manualBreakCount="1">
    <brk id="3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56"/>
  <sheetViews>
    <sheetView showGridLines="0" zoomScale="85" zoomScaleNormal="85" zoomScaleSheetLayoutView="82" workbookViewId="0">
      <selection activeCell="A1" sqref="A1"/>
    </sheetView>
  </sheetViews>
  <sheetFormatPr defaultColWidth="9" defaultRowHeight="12.75"/>
  <cols>
    <col min="1" max="1" width="6.28571428571429" customWidth="1"/>
    <col min="2" max="25" width="5.71428571428571" customWidth="1"/>
    <col min="26" max="26" width="4.71428571428571" customWidth="1"/>
    <col min="27" max="27" width="5.85714285714286" customWidth="1"/>
    <col min="28" max="28" width="0.285714285714286" customWidth="1"/>
  </cols>
  <sheetData>
    <row r="1" customHeight="1" spans="1:27">
      <c r="A1" s="46"/>
      <c r="B1" s="46"/>
      <c r="C1" s="46"/>
      <c r="D1" s="46"/>
      <c r="E1" s="46"/>
      <c r="F1" s="46"/>
      <c r="G1" s="46"/>
      <c r="H1" s="46"/>
      <c r="I1" s="46"/>
      <c r="J1" s="59" t="s">
        <v>59</v>
      </c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46"/>
      <c r="Z1" s="46"/>
      <c r="AA1" s="46"/>
    </row>
    <row r="2" customHeight="1" spans="1:27">
      <c r="A2" s="47" t="s">
        <v>1</v>
      </c>
      <c r="B2" s="48"/>
      <c r="C2" s="48"/>
      <c r="D2" s="98" t="s">
        <v>2</v>
      </c>
      <c r="E2" s="50"/>
      <c r="F2" s="49"/>
      <c r="G2" s="49"/>
      <c r="H2" s="48"/>
      <c r="I2" s="48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46" t="s">
        <v>60</v>
      </c>
      <c r="Z2" s="65"/>
      <c r="AA2" s="46"/>
    </row>
    <row r="3" spans="1:27">
      <c r="A3" s="47" t="s">
        <v>4</v>
      </c>
      <c r="B3" s="48"/>
      <c r="C3" s="48"/>
      <c r="D3" s="98" t="s">
        <v>5</v>
      </c>
      <c r="E3" s="50"/>
      <c r="F3" s="49"/>
      <c r="G3" s="49"/>
      <c r="H3" s="48"/>
      <c r="I3" s="48"/>
      <c r="J3" s="46"/>
      <c r="K3" s="60" t="s">
        <v>6</v>
      </c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46"/>
      <c r="Y3" s="46"/>
      <c r="Z3" s="46"/>
      <c r="AA3" s="46"/>
    </row>
    <row r="4" ht="27" customHeight="1" spans="1:28">
      <c r="A4" s="47" t="s">
        <v>7</v>
      </c>
      <c r="B4" s="48"/>
      <c r="C4" s="48"/>
      <c r="D4" s="98" t="s">
        <v>8</v>
      </c>
      <c r="E4" s="50"/>
      <c r="F4" s="49"/>
      <c r="G4" s="49"/>
      <c r="H4" s="48"/>
      <c r="I4" s="48"/>
      <c r="J4" s="46"/>
      <c r="K4" s="61" t="s">
        <v>61</v>
      </c>
      <c r="L4" s="61"/>
      <c r="M4" s="61"/>
      <c r="N4" s="61"/>
      <c r="O4" s="61"/>
      <c r="P4" s="61"/>
      <c r="Q4" s="61"/>
      <c r="R4" s="61"/>
      <c r="S4" s="61"/>
      <c r="T4" s="61"/>
      <c r="U4" s="61"/>
      <c r="V4" s="63"/>
      <c r="W4" s="46"/>
      <c r="X4" s="64" t="s">
        <v>10</v>
      </c>
      <c r="Y4" s="69" t="s">
        <v>11</v>
      </c>
      <c r="Z4" s="70"/>
      <c r="AA4" s="71"/>
      <c r="AB4" s="72"/>
    </row>
    <row r="5" spans="1:28">
      <c r="A5" s="51" t="s">
        <v>12</v>
      </c>
      <c r="B5" s="48"/>
      <c r="C5" s="48"/>
      <c r="D5" s="49" t="s">
        <v>62</v>
      </c>
      <c r="E5" s="50"/>
      <c r="F5" s="49"/>
      <c r="G5" s="49"/>
      <c r="H5" s="48"/>
      <c r="I5" s="48"/>
      <c r="J5" s="46"/>
      <c r="K5" s="46"/>
      <c r="L5" s="46"/>
      <c r="M5" s="46"/>
      <c r="N5" s="62"/>
      <c r="O5" s="46"/>
      <c r="P5" s="62" t="s">
        <v>15</v>
      </c>
      <c r="Q5" s="65"/>
      <c r="R5" s="66"/>
      <c r="S5" s="65"/>
      <c r="T5" s="65"/>
      <c r="U5" s="46"/>
      <c r="V5" s="46"/>
      <c r="W5" s="46"/>
      <c r="X5" s="64" t="s">
        <v>63</v>
      </c>
      <c r="Y5" s="46" t="s">
        <v>64</v>
      </c>
      <c r="Z5" s="46"/>
      <c r="AA5" s="46"/>
      <c r="AB5" s="72"/>
    </row>
    <row r="6" spans="1:27">
      <c r="A6" s="51" t="s">
        <v>65</v>
      </c>
      <c r="B6" s="48"/>
      <c r="C6" s="48"/>
      <c r="D6" s="49"/>
      <c r="E6" s="50"/>
      <c r="F6" s="49"/>
      <c r="G6" s="49"/>
      <c r="H6" s="48"/>
      <c r="I6" s="48"/>
      <c r="J6" s="46"/>
      <c r="K6" s="46"/>
      <c r="L6" s="46"/>
      <c r="M6" s="46"/>
      <c r="N6" s="46"/>
      <c r="O6" s="46"/>
      <c r="P6" s="62" t="s">
        <v>20</v>
      </c>
      <c r="Q6" s="67"/>
      <c r="R6" s="68"/>
      <c r="S6" s="67"/>
      <c r="T6" s="67"/>
      <c r="U6" s="46"/>
      <c r="V6" s="46"/>
      <c r="W6" s="46"/>
      <c r="X6" s="46"/>
      <c r="Y6" s="46"/>
      <c r="Z6" s="46"/>
      <c r="AA6" s="46"/>
    </row>
    <row r="7" ht="7.5" customHeight="1" spans="1:2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customHeight="1" spans="1:27">
      <c r="A8" s="52" t="s">
        <v>22</v>
      </c>
      <c r="B8" s="53" t="s">
        <v>23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73" t="s">
        <v>24</v>
      </c>
      <c r="AA8" s="74" t="s">
        <v>25</v>
      </c>
    </row>
    <row r="9" spans="1:27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73"/>
      <c r="AA9" s="74"/>
    </row>
    <row r="10" ht="13.5" customHeight="1" spans="1:27">
      <c r="A10" s="52"/>
      <c r="B10" s="97" t="s">
        <v>27</v>
      </c>
      <c r="C10" s="97" t="s">
        <v>28</v>
      </c>
      <c r="D10" s="97" t="s">
        <v>29</v>
      </c>
      <c r="E10" s="97" t="s">
        <v>30</v>
      </c>
      <c r="F10" s="97" t="s">
        <v>31</v>
      </c>
      <c r="G10" s="97" t="s">
        <v>32</v>
      </c>
      <c r="H10" s="97" t="s">
        <v>33</v>
      </c>
      <c r="I10" s="97" t="s">
        <v>34</v>
      </c>
      <c r="J10" s="97" t="s">
        <v>35</v>
      </c>
      <c r="K10" s="97" t="s">
        <v>36</v>
      </c>
      <c r="L10" s="97" t="s">
        <v>37</v>
      </c>
      <c r="M10" s="97" t="s">
        <v>38</v>
      </c>
      <c r="N10" s="97" t="s">
        <v>39</v>
      </c>
      <c r="O10" s="97" t="s">
        <v>40</v>
      </c>
      <c r="P10" s="97" t="s">
        <v>41</v>
      </c>
      <c r="Q10" s="97" t="s">
        <v>42</v>
      </c>
      <c r="R10" s="97" t="s">
        <v>43</v>
      </c>
      <c r="S10" s="97" t="s">
        <v>44</v>
      </c>
      <c r="T10" s="97" t="s">
        <v>45</v>
      </c>
      <c r="U10" s="97" t="s">
        <v>46</v>
      </c>
      <c r="V10" s="97" t="s">
        <v>47</v>
      </c>
      <c r="W10" s="97" t="s">
        <v>48</v>
      </c>
      <c r="X10" s="97" t="s">
        <v>49</v>
      </c>
      <c r="Y10" s="97" t="s">
        <v>50</v>
      </c>
      <c r="Z10" s="73"/>
      <c r="AA10" s="74"/>
    </row>
    <row r="11" spans="1:27">
      <c r="A11" s="52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73"/>
      <c r="AA11" s="74"/>
    </row>
    <row r="12" ht="13.5" spans="1:27">
      <c r="A12" s="34">
        <v>1</v>
      </c>
      <c r="B12" s="55">
        <v>0</v>
      </c>
      <c r="C12" s="55">
        <v>0</v>
      </c>
      <c r="D12" s="55">
        <v>0</v>
      </c>
      <c r="E12" s="55">
        <v>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5">
        <v>0</v>
      </c>
      <c r="N12" s="55">
        <v>0</v>
      </c>
      <c r="O12" s="55">
        <v>0</v>
      </c>
      <c r="P12" s="55">
        <v>0</v>
      </c>
      <c r="Q12" s="55">
        <v>0</v>
      </c>
      <c r="R12" s="55">
        <v>0</v>
      </c>
      <c r="S12" s="55">
        <v>0</v>
      </c>
      <c r="T12" s="55">
        <v>0</v>
      </c>
      <c r="U12" s="55">
        <v>0</v>
      </c>
      <c r="V12" s="55">
        <v>0</v>
      </c>
      <c r="W12" s="55">
        <v>0</v>
      </c>
      <c r="X12" s="55">
        <v>0</v>
      </c>
      <c r="Y12" s="55">
        <v>0</v>
      </c>
      <c r="Z12" s="75">
        <f>SUM(B12:Y12)</f>
        <v>0</v>
      </c>
      <c r="AA12" s="75"/>
    </row>
    <row r="13" ht="13.5" spans="1:27">
      <c r="A13" s="34">
        <v>2</v>
      </c>
      <c r="B13" s="55">
        <v>0</v>
      </c>
      <c r="C13" s="55">
        <v>0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75">
        <f t="shared" ref="Z13:Z42" si="0">SUM(B13:Y13)</f>
        <v>0</v>
      </c>
      <c r="AA13" s="75"/>
    </row>
    <row r="14" ht="13.5" spans="1:27">
      <c r="A14" s="34">
        <v>3</v>
      </c>
      <c r="B14" s="55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75">
        <f t="shared" si="0"/>
        <v>0</v>
      </c>
      <c r="AA14" s="75"/>
    </row>
    <row r="15" ht="13.5" spans="1:27">
      <c r="A15" s="34">
        <v>4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75">
        <f t="shared" si="0"/>
        <v>0</v>
      </c>
      <c r="AA15" s="75"/>
    </row>
    <row r="16" ht="13.5" spans="1:27">
      <c r="A16" s="34">
        <v>5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0</v>
      </c>
      <c r="H16" s="55">
        <v>0</v>
      </c>
      <c r="I16" s="55">
        <v>0</v>
      </c>
      <c r="J16" s="55">
        <v>0</v>
      </c>
      <c r="K16" s="55">
        <v>0</v>
      </c>
      <c r="L16" s="55">
        <v>0</v>
      </c>
      <c r="M16" s="55">
        <v>0</v>
      </c>
      <c r="N16" s="55">
        <v>0</v>
      </c>
      <c r="O16" s="55">
        <v>0</v>
      </c>
      <c r="P16" s="55">
        <v>0</v>
      </c>
      <c r="Q16" s="55">
        <v>0</v>
      </c>
      <c r="R16" s="55">
        <v>0</v>
      </c>
      <c r="S16" s="55">
        <v>0</v>
      </c>
      <c r="T16" s="55">
        <v>0</v>
      </c>
      <c r="U16" s="55">
        <v>0</v>
      </c>
      <c r="V16" s="55">
        <v>0</v>
      </c>
      <c r="W16" s="55">
        <v>0</v>
      </c>
      <c r="X16" s="55">
        <v>0</v>
      </c>
      <c r="Y16" s="55">
        <v>0</v>
      </c>
      <c r="Z16" s="75">
        <f t="shared" si="0"/>
        <v>0</v>
      </c>
      <c r="AA16" s="75"/>
    </row>
    <row r="17" ht="13.5" spans="1:27">
      <c r="A17" s="34">
        <v>6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5">
        <v>0</v>
      </c>
      <c r="Z17" s="75">
        <f t="shared" si="0"/>
        <v>0</v>
      </c>
      <c r="AA17" s="75"/>
    </row>
    <row r="18" ht="13.5" spans="1:27">
      <c r="A18" s="34">
        <v>7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Z18" s="75">
        <f t="shared" si="0"/>
        <v>0</v>
      </c>
      <c r="AA18" s="75"/>
    </row>
    <row r="19" ht="13.5" spans="1:27">
      <c r="A19" s="34">
        <v>8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75">
        <f t="shared" si="0"/>
        <v>0</v>
      </c>
      <c r="AA19" s="75"/>
    </row>
    <row r="20" ht="13.5" spans="1:27">
      <c r="A20" s="34">
        <v>9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Z20" s="75">
        <f t="shared" si="0"/>
        <v>0</v>
      </c>
      <c r="AA20" s="75"/>
    </row>
    <row r="21" ht="13.5" spans="1:27">
      <c r="A21" s="34">
        <v>10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75">
        <f t="shared" si="0"/>
        <v>0</v>
      </c>
      <c r="AA21" s="75"/>
    </row>
    <row r="22" ht="13.5" spans="1:27">
      <c r="A22" s="34">
        <v>11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75">
        <f t="shared" si="0"/>
        <v>0</v>
      </c>
      <c r="AA22" s="75"/>
    </row>
    <row r="23" ht="13.5" spans="1:27">
      <c r="A23" s="34">
        <v>12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75">
        <f t="shared" si="0"/>
        <v>0</v>
      </c>
      <c r="AA23" s="75"/>
    </row>
    <row r="24" ht="13.5" spans="1:27">
      <c r="A24" s="34">
        <v>13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75">
        <f t="shared" si="0"/>
        <v>0</v>
      </c>
      <c r="AA24" s="75"/>
    </row>
    <row r="25" ht="13.5" spans="1:27">
      <c r="A25" s="34">
        <v>14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75">
        <f t="shared" si="0"/>
        <v>0</v>
      </c>
      <c r="AA25" s="75"/>
    </row>
    <row r="26" ht="13.5" spans="1:27">
      <c r="A26" s="34">
        <v>15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X26" s="55">
        <v>0</v>
      </c>
      <c r="Y26" s="55">
        <v>0</v>
      </c>
      <c r="Z26" s="75">
        <f t="shared" si="0"/>
        <v>0</v>
      </c>
      <c r="AA26" s="75"/>
    </row>
    <row r="27" ht="13.5" spans="1:27">
      <c r="A27" s="34">
        <v>16</v>
      </c>
      <c r="B27" s="55">
        <v>0</v>
      </c>
      <c r="C27" s="55">
        <v>0</v>
      </c>
      <c r="D27" s="55">
        <v>0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  <c r="L27" s="55">
        <v>0</v>
      </c>
      <c r="M27" s="55">
        <v>0</v>
      </c>
      <c r="N27" s="55">
        <v>0</v>
      </c>
      <c r="O27" s="55">
        <v>0</v>
      </c>
      <c r="P27" s="55">
        <v>0</v>
      </c>
      <c r="Q27" s="55">
        <v>0</v>
      </c>
      <c r="R27" s="55">
        <v>0</v>
      </c>
      <c r="S27" s="55">
        <v>0</v>
      </c>
      <c r="T27" s="55">
        <v>0</v>
      </c>
      <c r="U27" s="55">
        <v>0</v>
      </c>
      <c r="V27" s="55">
        <v>0</v>
      </c>
      <c r="W27" s="55">
        <v>0</v>
      </c>
      <c r="X27" s="55">
        <v>0</v>
      </c>
      <c r="Y27" s="55">
        <v>0</v>
      </c>
      <c r="Z27" s="75">
        <f t="shared" si="0"/>
        <v>0</v>
      </c>
      <c r="AA27" s="75"/>
    </row>
    <row r="28" ht="13.5" spans="1:27">
      <c r="A28" s="34">
        <v>17</v>
      </c>
      <c r="B28" s="55">
        <v>0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  <c r="L28" s="5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</v>
      </c>
      <c r="X28" s="55">
        <v>0</v>
      </c>
      <c r="Y28" s="55">
        <v>0</v>
      </c>
      <c r="Z28" s="75">
        <f t="shared" si="0"/>
        <v>0</v>
      </c>
      <c r="AA28" s="75"/>
    </row>
    <row r="29" ht="13.5" spans="1:27">
      <c r="A29" s="34">
        <v>18</v>
      </c>
      <c r="B29" s="55">
        <v>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75">
        <f t="shared" si="0"/>
        <v>0</v>
      </c>
      <c r="AA29" s="75"/>
    </row>
    <row r="30" ht="13.5" spans="1:27">
      <c r="A30" s="34">
        <v>19</v>
      </c>
      <c r="B30" s="55">
        <v>0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5">
        <v>0</v>
      </c>
      <c r="S30" s="55">
        <v>0</v>
      </c>
      <c r="T30" s="55">
        <v>0</v>
      </c>
      <c r="U30" s="55">
        <v>0</v>
      </c>
      <c r="V30" s="55">
        <v>0</v>
      </c>
      <c r="W30" s="55">
        <v>0</v>
      </c>
      <c r="X30" s="55">
        <v>0</v>
      </c>
      <c r="Y30" s="55">
        <v>0</v>
      </c>
      <c r="Z30" s="75">
        <f t="shared" si="0"/>
        <v>0</v>
      </c>
      <c r="AA30" s="75"/>
    </row>
    <row r="31" ht="13.5" spans="1:27">
      <c r="A31" s="34">
        <v>20</v>
      </c>
      <c r="B31" s="55">
        <v>0</v>
      </c>
      <c r="C31" s="55">
        <v>0</v>
      </c>
      <c r="D31" s="55">
        <v>0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  <c r="L31" s="55">
        <v>0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5">
        <v>0</v>
      </c>
      <c r="S31" s="55">
        <v>0</v>
      </c>
      <c r="T31" s="55">
        <v>0</v>
      </c>
      <c r="U31" s="55">
        <v>0</v>
      </c>
      <c r="V31" s="55">
        <v>0</v>
      </c>
      <c r="W31" s="55">
        <v>0</v>
      </c>
      <c r="X31" s="55">
        <v>0</v>
      </c>
      <c r="Y31" s="55">
        <v>0</v>
      </c>
      <c r="Z31" s="75">
        <f t="shared" si="0"/>
        <v>0</v>
      </c>
      <c r="AA31" s="75"/>
    </row>
    <row r="32" ht="13.5" spans="1:27">
      <c r="A32" s="34">
        <v>21</v>
      </c>
      <c r="B32" s="55">
        <v>0</v>
      </c>
      <c r="C32" s="55">
        <v>0</v>
      </c>
      <c r="D32" s="55">
        <v>0</v>
      </c>
      <c r="E32" s="55">
        <v>0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5">
        <v>0</v>
      </c>
      <c r="S32" s="55">
        <v>0</v>
      </c>
      <c r="T32" s="55">
        <v>0</v>
      </c>
      <c r="U32" s="55">
        <v>0</v>
      </c>
      <c r="V32" s="55">
        <v>0</v>
      </c>
      <c r="W32" s="55">
        <v>0</v>
      </c>
      <c r="X32" s="55">
        <v>0</v>
      </c>
      <c r="Y32" s="55">
        <v>0</v>
      </c>
      <c r="Z32" s="75">
        <f t="shared" si="0"/>
        <v>0</v>
      </c>
      <c r="AA32" s="75"/>
    </row>
    <row r="33" ht="13.5" spans="1:27">
      <c r="A33" s="34">
        <v>22</v>
      </c>
      <c r="B33" s="55">
        <v>0</v>
      </c>
      <c r="C33" s="55">
        <v>0</v>
      </c>
      <c r="D33" s="55">
        <v>0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55">
        <v>0</v>
      </c>
      <c r="K33" s="55">
        <v>0</v>
      </c>
      <c r="L33" s="55">
        <v>0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5">
        <v>0</v>
      </c>
      <c r="Z33" s="75">
        <f t="shared" si="0"/>
        <v>0</v>
      </c>
      <c r="AA33" s="75"/>
    </row>
    <row r="34" ht="13.5" spans="1:27">
      <c r="A34" s="34">
        <v>23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75">
        <f t="shared" si="0"/>
        <v>0</v>
      </c>
      <c r="AA34" s="75"/>
    </row>
    <row r="35" ht="13.5" spans="1:27">
      <c r="A35" s="34">
        <v>24</v>
      </c>
      <c r="B35" s="55">
        <v>0</v>
      </c>
      <c r="C35" s="55">
        <v>0</v>
      </c>
      <c r="D35" s="55">
        <v>0</v>
      </c>
      <c r="E35" s="55">
        <v>0</v>
      </c>
      <c r="F35" s="55">
        <v>0</v>
      </c>
      <c r="G35" s="55">
        <v>0</v>
      </c>
      <c r="H35" s="55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55">
        <v>0</v>
      </c>
      <c r="S35" s="55">
        <v>0</v>
      </c>
      <c r="T35" s="55">
        <v>0</v>
      </c>
      <c r="U35" s="55">
        <v>0</v>
      </c>
      <c r="V35" s="55">
        <v>0</v>
      </c>
      <c r="W35" s="55">
        <v>0</v>
      </c>
      <c r="X35" s="55">
        <v>0</v>
      </c>
      <c r="Y35" s="55">
        <v>0</v>
      </c>
      <c r="Z35" s="75">
        <f t="shared" si="0"/>
        <v>0</v>
      </c>
      <c r="AA35" s="75"/>
    </row>
    <row r="36" ht="13.5" spans="1:27">
      <c r="A36" s="34">
        <v>25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X36" s="55">
        <v>0</v>
      </c>
      <c r="Y36" s="55">
        <v>0</v>
      </c>
      <c r="Z36" s="75">
        <f t="shared" si="0"/>
        <v>0</v>
      </c>
      <c r="AA36" s="75"/>
    </row>
    <row r="37" ht="13.5" spans="1:27">
      <c r="A37" s="34">
        <v>26</v>
      </c>
      <c r="B37" s="55">
        <v>0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5">
        <v>0</v>
      </c>
      <c r="Z37" s="75">
        <f t="shared" si="0"/>
        <v>0</v>
      </c>
      <c r="AA37" s="75"/>
    </row>
    <row r="38" ht="13.5" spans="1:27">
      <c r="A38" s="34">
        <v>27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75">
        <f t="shared" si="0"/>
        <v>0</v>
      </c>
      <c r="AA38" s="75"/>
    </row>
    <row r="39" ht="13.5" spans="1:27">
      <c r="A39" s="34">
        <v>28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  <c r="Z39" s="75">
        <f t="shared" si="0"/>
        <v>0</v>
      </c>
      <c r="AA39" s="75"/>
    </row>
    <row r="40" ht="13.5" spans="1:27">
      <c r="A40" s="34">
        <v>29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Z40" s="75">
        <f t="shared" si="0"/>
        <v>0</v>
      </c>
      <c r="AA40" s="75"/>
    </row>
    <row r="41" ht="13.5" spans="1:27">
      <c r="A41" s="34">
        <v>30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Z41" s="75">
        <f t="shared" si="0"/>
        <v>0</v>
      </c>
      <c r="AA41" s="75"/>
    </row>
    <row r="42" ht="13.5" spans="1:27">
      <c r="A42" s="34">
        <v>31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Z42" s="75">
        <f t="shared" si="0"/>
        <v>0</v>
      </c>
      <c r="AA42" s="75"/>
    </row>
    <row r="43" ht="14.25" customHeight="1" spans="1:27">
      <c r="A43" s="56" t="s">
        <v>55</v>
      </c>
      <c r="B43" s="57">
        <f t="shared" ref="B43:Y43" si="1">SUM(B12:B42)</f>
        <v>0</v>
      </c>
      <c r="C43" s="57">
        <f t="shared" si="1"/>
        <v>0</v>
      </c>
      <c r="D43" s="57">
        <f t="shared" si="1"/>
        <v>0</v>
      </c>
      <c r="E43" s="57">
        <f t="shared" si="1"/>
        <v>0</v>
      </c>
      <c r="F43" s="57">
        <f t="shared" si="1"/>
        <v>0</v>
      </c>
      <c r="G43" s="57">
        <f t="shared" si="1"/>
        <v>0</v>
      </c>
      <c r="H43" s="57">
        <f t="shared" si="1"/>
        <v>0</v>
      </c>
      <c r="I43" s="57">
        <f t="shared" si="1"/>
        <v>0</v>
      </c>
      <c r="J43" s="57">
        <f t="shared" si="1"/>
        <v>0</v>
      </c>
      <c r="K43" s="57">
        <f t="shared" si="1"/>
        <v>0</v>
      </c>
      <c r="L43" s="57">
        <f t="shared" si="1"/>
        <v>0</v>
      </c>
      <c r="M43" s="57">
        <f t="shared" si="1"/>
        <v>0</v>
      </c>
      <c r="N43" s="57">
        <f t="shared" si="1"/>
        <v>0</v>
      </c>
      <c r="O43" s="57">
        <f t="shared" si="1"/>
        <v>0</v>
      </c>
      <c r="P43" s="57">
        <f t="shared" si="1"/>
        <v>0</v>
      </c>
      <c r="Q43" s="57">
        <f t="shared" si="1"/>
        <v>0</v>
      </c>
      <c r="R43" s="57">
        <f t="shared" si="1"/>
        <v>0</v>
      </c>
      <c r="S43" s="57">
        <f t="shared" si="1"/>
        <v>0</v>
      </c>
      <c r="T43" s="57">
        <f t="shared" si="1"/>
        <v>0</v>
      </c>
      <c r="U43" s="57">
        <f t="shared" si="1"/>
        <v>0</v>
      </c>
      <c r="V43" s="57">
        <f t="shared" si="1"/>
        <v>0</v>
      </c>
      <c r="W43" s="57">
        <f t="shared" si="1"/>
        <v>0</v>
      </c>
      <c r="X43" s="57">
        <f t="shared" si="1"/>
        <v>0</v>
      </c>
      <c r="Y43" s="57">
        <f t="shared" si="1"/>
        <v>0</v>
      </c>
      <c r="Z43" s="76">
        <f>SUM(Z12:AA42)</f>
        <v>0</v>
      </c>
      <c r="AA43" s="76"/>
    </row>
    <row r="44" spans="1:27">
      <c r="A44" s="56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76"/>
      <c r="AA44" s="76"/>
    </row>
    <row r="45" ht="23.25" customHeight="1" spans="1:27">
      <c r="A45" s="56" t="s">
        <v>56</v>
      </c>
      <c r="B45" s="57">
        <f t="shared" ref="B45:Y45" si="2">MAX(B12:B42)</f>
        <v>0</v>
      </c>
      <c r="C45" s="57">
        <f t="shared" si="2"/>
        <v>0</v>
      </c>
      <c r="D45" s="57">
        <f t="shared" si="2"/>
        <v>0</v>
      </c>
      <c r="E45" s="57">
        <f t="shared" si="2"/>
        <v>0</v>
      </c>
      <c r="F45" s="57">
        <f t="shared" si="2"/>
        <v>0</v>
      </c>
      <c r="G45" s="57">
        <f t="shared" si="2"/>
        <v>0</v>
      </c>
      <c r="H45" s="57">
        <f t="shared" si="2"/>
        <v>0</v>
      </c>
      <c r="I45" s="57">
        <f t="shared" si="2"/>
        <v>0</v>
      </c>
      <c r="J45" s="57">
        <f t="shared" si="2"/>
        <v>0</v>
      </c>
      <c r="K45" s="57">
        <f t="shared" si="2"/>
        <v>0</v>
      </c>
      <c r="L45" s="57">
        <f t="shared" si="2"/>
        <v>0</v>
      </c>
      <c r="M45" s="57">
        <f t="shared" si="2"/>
        <v>0</v>
      </c>
      <c r="N45" s="57">
        <f t="shared" si="2"/>
        <v>0</v>
      </c>
      <c r="O45" s="57">
        <f t="shared" si="2"/>
        <v>0</v>
      </c>
      <c r="P45" s="57">
        <f t="shared" si="2"/>
        <v>0</v>
      </c>
      <c r="Q45" s="57">
        <f t="shared" si="2"/>
        <v>0</v>
      </c>
      <c r="R45" s="57">
        <f t="shared" si="2"/>
        <v>0</v>
      </c>
      <c r="S45" s="57">
        <f t="shared" si="2"/>
        <v>0</v>
      </c>
      <c r="T45" s="57">
        <f t="shared" si="2"/>
        <v>0</v>
      </c>
      <c r="U45" s="57">
        <f t="shared" si="2"/>
        <v>0</v>
      </c>
      <c r="V45" s="57">
        <f t="shared" si="2"/>
        <v>0</v>
      </c>
      <c r="W45" s="57">
        <f t="shared" si="2"/>
        <v>0</v>
      </c>
      <c r="X45" s="57">
        <f t="shared" si="2"/>
        <v>0</v>
      </c>
      <c r="Y45" s="57">
        <f t="shared" si="2"/>
        <v>0</v>
      </c>
      <c r="Z45" s="76">
        <f>MAX(Z12:AA42)</f>
        <v>0</v>
      </c>
      <c r="AA45" s="76"/>
    </row>
    <row r="46" spans="1:8">
      <c r="A46" s="58"/>
      <c r="B46" s="58"/>
      <c r="C46" s="58"/>
      <c r="D46" s="58"/>
      <c r="E46" s="58"/>
      <c r="F46" s="58"/>
      <c r="G46" s="58"/>
      <c r="H46" s="58"/>
    </row>
    <row r="47" spans="1:8">
      <c r="A47" s="58"/>
      <c r="B47" s="58"/>
      <c r="C47" s="58"/>
      <c r="D47" s="58"/>
      <c r="E47" s="58"/>
      <c r="F47" s="58"/>
      <c r="G47" s="58"/>
      <c r="H47" s="58"/>
    </row>
    <row r="48" spans="1:8">
      <c r="A48" s="58"/>
      <c r="B48" s="58"/>
      <c r="C48" s="58"/>
      <c r="D48" s="58"/>
      <c r="E48" s="58"/>
      <c r="F48" s="58"/>
      <c r="G48" s="58"/>
      <c r="H48" s="58"/>
    </row>
    <row r="49" spans="1:8">
      <c r="A49" s="58"/>
      <c r="B49" s="58"/>
      <c r="C49" s="58"/>
      <c r="D49" s="58"/>
      <c r="E49" s="58"/>
      <c r="F49" s="58"/>
      <c r="G49" s="58"/>
      <c r="H49" s="58"/>
    </row>
    <row r="50" spans="1:8">
      <c r="A50" s="58"/>
      <c r="B50" s="58"/>
      <c r="C50" s="58"/>
      <c r="D50" s="58"/>
      <c r="E50" s="58"/>
      <c r="F50" s="58"/>
      <c r="G50" s="58"/>
      <c r="H50" s="58"/>
    </row>
    <row r="51" spans="1:8">
      <c r="A51" s="58"/>
      <c r="B51" s="58"/>
      <c r="C51" s="58"/>
      <c r="D51" s="58"/>
      <c r="E51" s="58"/>
      <c r="F51" s="58"/>
      <c r="G51" s="58"/>
      <c r="H51" s="58"/>
    </row>
    <row r="52" spans="1:8">
      <c r="A52" s="58"/>
      <c r="B52" s="58"/>
      <c r="C52" s="58"/>
      <c r="D52" s="58"/>
      <c r="E52" s="58"/>
      <c r="F52" s="58"/>
      <c r="G52" s="58"/>
      <c r="H52" s="58"/>
    </row>
    <row r="53" spans="1:8">
      <c r="A53" s="58"/>
      <c r="B53" s="58"/>
      <c r="C53" s="58"/>
      <c r="D53" s="58"/>
      <c r="E53" s="58"/>
      <c r="F53" s="58"/>
      <c r="G53" s="58"/>
      <c r="H53" s="58"/>
    </row>
    <row r="54" spans="1:8">
      <c r="A54" s="58"/>
      <c r="B54" s="58"/>
      <c r="C54" s="58"/>
      <c r="D54" s="58"/>
      <c r="E54" s="58"/>
      <c r="F54" s="58"/>
      <c r="G54" s="58"/>
      <c r="H54" s="58"/>
    </row>
    <row r="55" spans="1:8">
      <c r="A55" s="58"/>
      <c r="B55" s="58"/>
      <c r="C55" s="58"/>
      <c r="D55" s="58"/>
      <c r="E55" s="58"/>
      <c r="F55" s="58"/>
      <c r="G55" s="58"/>
      <c r="H55" s="58"/>
    </row>
    <row r="56" spans="1:8">
      <c r="A56" s="58"/>
      <c r="B56" s="58"/>
      <c r="C56" s="58"/>
      <c r="D56" s="58"/>
      <c r="E56" s="58"/>
      <c r="F56" s="58"/>
      <c r="G56" s="58"/>
      <c r="H56" s="58"/>
    </row>
  </sheetData>
  <mergeCells count="91">
    <mergeCell ref="K3:W3"/>
    <mergeCell ref="K4:U4"/>
    <mergeCell ref="Y4:AA4"/>
    <mergeCell ref="S6:T6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Z24:AA24"/>
    <mergeCell ref="Z25:AA25"/>
    <mergeCell ref="Z26:AA26"/>
    <mergeCell ref="Z27:AA27"/>
    <mergeCell ref="Z28:AA28"/>
    <mergeCell ref="Z29:AA29"/>
    <mergeCell ref="Z30:AA30"/>
    <mergeCell ref="Z31:AA31"/>
    <mergeCell ref="Z32:AA32"/>
    <mergeCell ref="Z33:AA33"/>
    <mergeCell ref="Z34:AA34"/>
    <mergeCell ref="Z35:AA35"/>
    <mergeCell ref="Z36:AA36"/>
    <mergeCell ref="Z37:AA37"/>
    <mergeCell ref="Z38:AA38"/>
    <mergeCell ref="Z39:AA39"/>
    <mergeCell ref="Z40:AA40"/>
    <mergeCell ref="Z41:AA41"/>
    <mergeCell ref="Z42:AA42"/>
    <mergeCell ref="Z45:AA45"/>
    <mergeCell ref="A8:A11"/>
    <mergeCell ref="A43:A44"/>
    <mergeCell ref="B10:B11"/>
    <mergeCell ref="B43:B44"/>
    <mergeCell ref="C10:C11"/>
    <mergeCell ref="C43:C44"/>
    <mergeCell ref="D10:D11"/>
    <mergeCell ref="D43:D44"/>
    <mergeCell ref="E10:E11"/>
    <mergeCell ref="E43:E44"/>
    <mergeCell ref="F10:F11"/>
    <mergeCell ref="F43:F44"/>
    <mergeCell ref="G10:G11"/>
    <mergeCell ref="G43:G44"/>
    <mergeCell ref="H10:H11"/>
    <mergeCell ref="H43:H44"/>
    <mergeCell ref="I10:I11"/>
    <mergeCell ref="I43:I44"/>
    <mergeCell ref="J10:J11"/>
    <mergeCell ref="J43:J44"/>
    <mergeCell ref="K10:K11"/>
    <mergeCell ref="K43:K44"/>
    <mergeCell ref="L10:L11"/>
    <mergeCell ref="L43:L44"/>
    <mergeCell ref="M10:M11"/>
    <mergeCell ref="M43:M44"/>
    <mergeCell ref="N10:N11"/>
    <mergeCell ref="N43:N44"/>
    <mergeCell ref="O10:O11"/>
    <mergeCell ref="O43:O44"/>
    <mergeCell ref="P10:P11"/>
    <mergeCell ref="P43:P44"/>
    <mergeCell ref="Q10:Q11"/>
    <mergeCell ref="Q43:Q44"/>
    <mergeCell ref="R10:R11"/>
    <mergeCell ref="R43:R44"/>
    <mergeCell ref="S10:S11"/>
    <mergeCell ref="S43:S44"/>
    <mergeCell ref="T10:T11"/>
    <mergeCell ref="T43:T44"/>
    <mergeCell ref="U10:U11"/>
    <mergeCell ref="U43:U44"/>
    <mergeCell ref="V10:V11"/>
    <mergeCell ref="V43:V44"/>
    <mergeCell ref="W10:W11"/>
    <mergeCell ref="W43:W44"/>
    <mergeCell ref="X10:X11"/>
    <mergeCell ref="X43:X44"/>
    <mergeCell ref="Y10:Y11"/>
    <mergeCell ref="Y43:Y44"/>
    <mergeCell ref="Z8:Z11"/>
    <mergeCell ref="AA8:AA11"/>
    <mergeCell ref="Z43:AA44"/>
    <mergeCell ref="J1:X2"/>
    <mergeCell ref="B8:Y9"/>
  </mergeCells>
  <printOptions horizontalCentered="1"/>
  <pageMargins left="0.25" right="0.25" top="0.75" bottom="0.75" header="0.3" footer="0.3"/>
  <pageSetup paperSize="9" scale="77" orientation="landscape" horizontalDpi="360" verticalDpi="36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40"/>
  <sheetViews>
    <sheetView showGridLines="0" zoomScaleSheetLayoutView="82" workbookViewId="0">
      <selection activeCell="A1" sqref="A1:A4"/>
    </sheetView>
  </sheetViews>
  <sheetFormatPr defaultColWidth="9" defaultRowHeight="12.75"/>
  <cols>
    <col min="1" max="1" width="6" customWidth="1"/>
    <col min="2" max="2" width="14" customWidth="1"/>
    <col min="3" max="3" width="13.7142857142857" customWidth="1"/>
    <col min="4" max="4" width="17.2857142857143" customWidth="1"/>
    <col min="5" max="7" width="9.42857142857143" customWidth="1"/>
    <col min="8" max="9" width="10.2857142857143" customWidth="1"/>
    <col min="10" max="10" width="10.4285714285714" customWidth="1"/>
    <col min="11" max="13" width="10.2857142857143" customWidth="1"/>
    <col min="14" max="14" width="3.85714285714286" customWidth="1"/>
  </cols>
  <sheetData>
    <row r="1" customHeight="1" spans="1:13">
      <c r="A1" s="1" t="s">
        <v>22</v>
      </c>
      <c r="B1" s="2" t="s">
        <v>66</v>
      </c>
      <c r="C1" s="3"/>
      <c r="D1" s="4"/>
      <c r="E1" s="5" t="s">
        <v>21</v>
      </c>
      <c r="F1" s="6"/>
      <c r="G1" s="6"/>
      <c r="H1" s="6"/>
      <c r="I1" s="6"/>
      <c r="J1" s="6"/>
      <c r="K1" s="6"/>
      <c r="L1" s="6"/>
      <c r="M1" s="40"/>
    </row>
    <row r="2" spans="1:13">
      <c r="A2" s="7"/>
      <c r="B2" s="8"/>
      <c r="C2" s="9"/>
      <c r="D2" s="10"/>
      <c r="E2" s="11" t="s">
        <v>26</v>
      </c>
      <c r="F2" s="12"/>
      <c r="G2" s="12"/>
      <c r="H2" s="12"/>
      <c r="I2" s="12"/>
      <c r="J2" s="12"/>
      <c r="K2" s="12"/>
      <c r="L2" s="12"/>
      <c r="M2" s="41"/>
    </row>
    <row r="3" ht="13.5" customHeight="1" spans="1:13">
      <c r="A3" s="7"/>
      <c r="B3" s="13" t="s">
        <v>24</v>
      </c>
      <c r="C3" s="13" t="s">
        <v>24</v>
      </c>
      <c r="D3" s="14" t="s">
        <v>67</v>
      </c>
      <c r="E3" s="13">
        <v>5</v>
      </c>
      <c r="F3" s="13">
        <v>10</v>
      </c>
      <c r="G3" s="13">
        <v>15</v>
      </c>
      <c r="H3" s="13">
        <v>30</v>
      </c>
      <c r="I3" s="13">
        <v>45</v>
      </c>
      <c r="J3" s="13">
        <v>60</v>
      </c>
      <c r="K3" s="13">
        <v>120</v>
      </c>
      <c r="L3" s="13">
        <v>6</v>
      </c>
      <c r="M3" s="13">
        <v>12</v>
      </c>
    </row>
    <row r="4" spans="1:13">
      <c r="A4" s="15"/>
      <c r="B4" s="16" t="s">
        <v>67</v>
      </c>
      <c r="C4" s="16" t="s">
        <v>68</v>
      </c>
      <c r="D4" s="16" t="s">
        <v>68</v>
      </c>
      <c r="E4" s="16" t="s">
        <v>51</v>
      </c>
      <c r="F4" s="16" t="s">
        <v>51</v>
      </c>
      <c r="G4" s="16" t="s">
        <v>51</v>
      </c>
      <c r="H4" s="16" t="s">
        <v>51</v>
      </c>
      <c r="I4" s="16" t="s">
        <v>51</v>
      </c>
      <c r="J4" s="16" t="s">
        <v>51</v>
      </c>
      <c r="K4" s="16" t="s">
        <v>51</v>
      </c>
      <c r="L4" s="16" t="s">
        <v>52</v>
      </c>
      <c r="M4" s="16" t="s">
        <v>52</v>
      </c>
    </row>
    <row r="5" ht="13.5" spans="1:13">
      <c r="A5" s="17">
        <v>1</v>
      </c>
      <c r="B5" s="18" t="s">
        <v>53</v>
      </c>
      <c r="C5" s="18" t="s">
        <v>53</v>
      </c>
      <c r="D5" s="19" t="str">
        <f>IFERROR(B5/C5,"-")</f>
        <v>-</v>
      </c>
      <c r="E5" s="20" t="s">
        <v>53</v>
      </c>
      <c r="F5" s="20" t="s">
        <v>53</v>
      </c>
      <c r="G5" s="20" t="s">
        <v>53</v>
      </c>
      <c r="H5" s="20" t="s">
        <v>53</v>
      </c>
      <c r="I5" s="20" t="s">
        <v>53</v>
      </c>
      <c r="J5" s="20" t="s">
        <v>53</v>
      </c>
      <c r="K5" s="27" t="s">
        <v>53</v>
      </c>
      <c r="L5" s="27" t="s">
        <v>53</v>
      </c>
      <c r="M5" s="27" t="s">
        <v>53</v>
      </c>
    </row>
    <row r="6" ht="13.5" spans="1:13">
      <c r="A6" s="21">
        <v>2</v>
      </c>
      <c r="B6" s="18" t="s">
        <v>53</v>
      </c>
      <c r="C6" s="18" t="s">
        <v>53</v>
      </c>
      <c r="D6" s="19" t="str">
        <f t="shared" ref="D6:D35" si="0">IFERROR(B6/C6,"-")</f>
        <v>-</v>
      </c>
      <c r="E6" s="20" t="s">
        <v>53</v>
      </c>
      <c r="F6" s="20" t="s">
        <v>53</v>
      </c>
      <c r="G6" s="20" t="s">
        <v>53</v>
      </c>
      <c r="H6" s="20" t="s">
        <v>53</v>
      </c>
      <c r="I6" s="20" t="s">
        <v>53</v>
      </c>
      <c r="J6" s="20" t="s">
        <v>53</v>
      </c>
      <c r="K6" s="27" t="s">
        <v>53</v>
      </c>
      <c r="L6" s="27" t="s">
        <v>53</v>
      </c>
      <c r="M6" s="27" t="s">
        <v>53</v>
      </c>
    </row>
    <row r="7" ht="13.5" spans="1:13">
      <c r="A7" s="21">
        <v>3</v>
      </c>
      <c r="B7" s="18" t="s">
        <v>53</v>
      </c>
      <c r="C7" s="18" t="s">
        <v>53</v>
      </c>
      <c r="D7" s="19" t="str">
        <f t="shared" si="0"/>
        <v>-</v>
      </c>
      <c r="E7" s="20" t="s">
        <v>53</v>
      </c>
      <c r="F7" s="20" t="s">
        <v>53</v>
      </c>
      <c r="G7" s="20" t="s">
        <v>53</v>
      </c>
      <c r="H7" s="20" t="s">
        <v>53</v>
      </c>
      <c r="I7" s="20" t="s">
        <v>53</v>
      </c>
      <c r="J7" s="20" t="s">
        <v>53</v>
      </c>
      <c r="K7" s="27" t="s">
        <v>53</v>
      </c>
      <c r="L7" s="27" t="s">
        <v>53</v>
      </c>
      <c r="M7" s="27" t="s">
        <v>53</v>
      </c>
    </row>
    <row r="8" ht="13.5" spans="1:13">
      <c r="A8" s="21">
        <v>4</v>
      </c>
      <c r="B8" s="18" t="s">
        <v>53</v>
      </c>
      <c r="C8" s="18" t="s">
        <v>53</v>
      </c>
      <c r="D8" s="19" t="str">
        <f t="shared" si="0"/>
        <v>-</v>
      </c>
      <c r="E8" s="20" t="s">
        <v>53</v>
      </c>
      <c r="F8" s="20" t="s">
        <v>53</v>
      </c>
      <c r="G8" s="20" t="s">
        <v>53</v>
      </c>
      <c r="H8" s="20" t="s">
        <v>53</v>
      </c>
      <c r="I8" s="20" t="s">
        <v>53</v>
      </c>
      <c r="J8" s="20" t="s">
        <v>53</v>
      </c>
      <c r="K8" s="27" t="s">
        <v>53</v>
      </c>
      <c r="L8" s="27" t="s">
        <v>53</v>
      </c>
      <c r="M8" s="27" t="s">
        <v>53</v>
      </c>
    </row>
    <row r="9" ht="13.5" spans="1:13">
      <c r="A9" s="22">
        <v>5</v>
      </c>
      <c r="B9" s="18" t="s">
        <v>53</v>
      </c>
      <c r="C9" s="18" t="s">
        <v>53</v>
      </c>
      <c r="D9" s="19" t="str">
        <f t="shared" si="0"/>
        <v>-</v>
      </c>
      <c r="E9" s="20" t="s">
        <v>53</v>
      </c>
      <c r="F9" s="20" t="s">
        <v>53</v>
      </c>
      <c r="G9" s="20" t="s">
        <v>53</v>
      </c>
      <c r="H9" s="20" t="s">
        <v>53</v>
      </c>
      <c r="I9" s="20" t="s">
        <v>53</v>
      </c>
      <c r="J9" s="20" t="s">
        <v>53</v>
      </c>
      <c r="K9" s="27" t="s">
        <v>53</v>
      </c>
      <c r="L9" s="27" t="s">
        <v>53</v>
      </c>
      <c r="M9" s="27" t="s">
        <v>53</v>
      </c>
    </row>
    <row r="10" ht="13.5" spans="1:13">
      <c r="A10" s="23">
        <v>6</v>
      </c>
      <c r="B10" s="18" t="s">
        <v>53</v>
      </c>
      <c r="C10" s="18" t="s">
        <v>53</v>
      </c>
      <c r="D10" s="19" t="str">
        <f t="shared" si="0"/>
        <v>-</v>
      </c>
      <c r="E10" s="20" t="s">
        <v>53</v>
      </c>
      <c r="F10" s="20" t="s">
        <v>53</v>
      </c>
      <c r="G10" s="20" t="s">
        <v>53</v>
      </c>
      <c r="H10" s="20" t="s">
        <v>53</v>
      </c>
      <c r="I10" s="20" t="s">
        <v>53</v>
      </c>
      <c r="J10" s="20" t="s">
        <v>53</v>
      </c>
      <c r="K10" s="27" t="s">
        <v>53</v>
      </c>
      <c r="L10" s="27" t="s">
        <v>53</v>
      </c>
      <c r="M10" s="27" t="s">
        <v>53</v>
      </c>
    </row>
    <row r="11" ht="13.5" spans="1:13">
      <c r="A11" s="21">
        <v>7</v>
      </c>
      <c r="B11" s="18" t="s">
        <v>53</v>
      </c>
      <c r="C11" s="18" t="s">
        <v>53</v>
      </c>
      <c r="D11" s="19" t="str">
        <f t="shared" si="0"/>
        <v>-</v>
      </c>
      <c r="E11" s="20" t="s">
        <v>53</v>
      </c>
      <c r="F11" s="20" t="s">
        <v>53</v>
      </c>
      <c r="G11" s="20" t="s">
        <v>53</v>
      </c>
      <c r="H11" s="20" t="s">
        <v>53</v>
      </c>
      <c r="I11" s="20" t="s">
        <v>53</v>
      </c>
      <c r="J11" s="20" t="s">
        <v>53</v>
      </c>
      <c r="K11" s="27" t="s">
        <v>53</v>
      </c>
      <c r="L11" s="27" t="s">
        <v>53</v>
      </c>
      <c r="M11" s="27" t="s">
        <v>53</v>
      </c>
    </row>
    <row r="12" ht="13.5" spans="1:13">
      <c r="A12" s="24">
        <v>8</v>
      </c>
      <c r="B12" s="18" t="s">
        <v>53</v>
      </c>
      <c r="C12" s="18" t="s">
        <v>53</v>
      </c>
      <c r="D12" s="19" t="str">
        <f t="shared" si="0"/>
        <v>-</v>
      </c>
      <c r="E12" s="20" t="s">
        <v>53</v>
      </c>
      <c r="F12" s="20" t="s">
        <v>53</v>
      </c>
      <c r="G12" s="20" t="s">
        <v>53</v>
      </c>
      <c r="H12" s="20" t="s">
        <v>53</v>
      </c>
      <c r="I12" s="20" t="s">
        <v>53</v>
      </c>
      <c r="J12" s="20" t="s">
        <v>53</v>
      </c>
      <c r="K12" s="27" t="s">
        <v>53</v>
      </c>
      <c r="L12" s="27" t="s">
        <v>53</v>
      </c>
      <c r="M12" s="27" t="s">
        <v>53</v>
      </c>
    </row>
    <row r="13" ht="13.5" spans="1:13">
      <c r="A13" s="21">
        <v>9</v>
      </c>
      <c r="B13" s="18" t="s">
        <v>53</v>
      </c>
      <c r="C13" s="18" t="s">
        <v>53</v>
      </c>
      <c r="D13" s="19" t="str">
        <f t="shared" si="0"/>
        <v>-</v>
      </c>
      <c r="E13" s="20" t="s">
        <v>53</v>
      </c>
      <c r="F13" s="20" t="s">
        <v>53</v>
      </c>
      <c r="G13" s="20" t="s">
        <v>53</v>
      </c>
      <c r="H13" s="20" t="s">
        <v>53</v>
      </c>
      <c r="I13" s="20" t="s">
        <v>53</v>
      </c>
      <c r="J13" s="20" t="s">
        <v>53</v>
      </c>
      <c r="K13" s="27" t="s">
        <v>53</v>
      </c>
      <c r="L13" s="27" t="s">
        <v>53</v>
      </c>
      <c r="M13" s="27" t="s">
        <v>53</v>
      </c>
    </row>
    <row r="14" ht="13.5" spans="1:13">
      <c r="A14" s="22">
        <v>10</v>
      </c>
      <c r="B14" s="18" t="s">
        <v>53</v>
      </c>
      <c r="C14" s="18" t="s">
        <v>53</v>
      </c>
      <c r="D14" s="19" t="str">
        <f t="shared" si="0"/>
        <v>-</v>
      </c>
      <c r="E14" s="20" t="s">
        <v>53</v>
      </c>
      <c r="F14" s="20" t="s">
        <v>53</v>
      </c>
      <c r="G14" s="20" t="s">
        <v>53</v>
      </c>
      <c r="H14" s="20" t="s">
        <v>53</v>
      </c>
      <c r="I14" s="20" t="s">
        <v>53</v>
      </c>
      <c r="J14" s="20" t="s">
        <v>53</v>
      </c>
      <c r="K14" s="27" t="s">
        <v>53</v>
      </c>
      <c r="L14" s="27" t="s">
        <v>53</v>
      </c>
      <c r="M14" s="27" t="s">
        <v>53</v>
      </c>
    </row>
    <row r="15" ht="13.5" spans="1:13">
      <c r="A15" s="23">
        <v>11</v>
      </c>
      <c r="B15" s="18" t="s">
        <v>53</v>
      </c>
      <c r="C15" s="18" t="s">
        <v>53</v>
      </c>
      <c r="D15" s="19" t="str">
        <f t="shared" si="0"/>
        <v>-</v>
      </c>
      <c r="E15" s="20" t="s">
        <v>53</v>
      </c>
      <c r="F15" s="20" t="s">
        <v>53</v>
      </c>
      <c r="G15" s="20" t="s">
        <v>53</v>
      </c>
      <c r="H15" s="20" t="s">
        <v>53</v>
      </c>
      <c r="I15" s="20" t="s">
        <v>53</v>
      </c>
      <c r="J15" s="20" t="s">
        <v>53</v>
      </c>
      <c r="K15" s="27" t="s">
        <v>53</v>
      </c>
      <c r="L15" s="27" t="s">
        <v>53</v>
      </c>
      <c r="M15" s="27" t="s">
        <v>53</v>
      </c>
    </row>
    <row r="16" ht="13.5" spans="1:13">
      <c r="A16" s="21">
        <v>12</v>
      </c>
      <c r="B16" s="18" t="s">
        <v>53</v>
      </c>
      <c r="C16" s="18" t="s">
        <v>53</v>
      </c>
      <c r="D16" s="19" t="str">
        <f t="shared" si="0"/>
        <v>-</v>
      </c>
      <c r="E16" s="20" t="s">
        <v>53</v>
      </c>
      <c r="F16" s="20" t="s">
        <v>53</v>
      </c>
      <c r="G16" s="20" t="s">
        <v>53</v>
      </c>
      <c r="H16" s="20" t="s">
        <v>53</v>
      </c>
      <c r="I16" s="20" t="s">
        <v>53</v>
      </c>
      <c r="J16" s="20" t="s">
        <v>53</v>
      </c>
      <c r="K16" s="27" t="s">
        <v>53</v>
      </c>
      <c r="L16" s="27" t="s">
        <v>53</v>
      </c>
      <c r="M16" s="27" t="s">
        <v>53</v>
      </c>
    </row>
    <row r="17" ht="13.5" spans="1:13">
      <c r="A17" s="21">
        <v>13</v>
      </c>
      <c r="B17" s="18" t="s">
        <v>53</v>
      </c>
      <c r="C17" s="18" t="s">
        <v>53</v>
      </c>
      <c r="D17" s="19" t="str">
        <f t="shared" si="0"/>
        <v>-</v>
      </c>
      <c r="E17" s="20" t="s">
        <v>53</v>
      </c>
      <c r="F17" s="20" t="s">
        <v>53</v>
      </c>
      <c r="G17" s="20" t="s">
        <v>53</v>
      </c>
      <c r="H17" s="20" t="s">
        <v>53</v>
      </c>
      <c r="I17" s="20" t="s">
        <v>53</v>
      </c>
      <c r="J17" s="20" t="s">
        <v>53</v>
      </c>
      <c r="K17" s="27" t="s">
        <v>53</v>
      </c>
      <c r="L17" s="27" t="s">
        <v>53</v>
      </c>
      <c r="M17" s="27" t="s">
        <v>53</v>
      </c>
    </row>
    <row r="18" ht="13.5" spans="1:13">
      <c r="A18" s="21">
        <v>14</v>
      </c>
      <c r="B18" s="18" t="s">
        <v>53</v>
      </c>
      <c r="C18" s="18" t="s">
        <v>53</v>
      </c>
      <c r="D18" s="19" t="str">
        <f t="shared" si="0"/>
        <v>-</v>
      </c>
      <c r="E18" s="20" t="s">
        <v>53</v>
      </c>
      <c r="F18" s="20" t="s">
        <v>53</v>
      </c>
      <c r="G18" s="20" t="s">
        <v>53</v>
      </c>
      <c r="H18" s="20" t="s">
        <v>53</v>
      </c>
      <c r="I18" s="20" t="s">
        <v>53</v>
      </c>
      <c r="J18" s="20" t="s">
        <v>53</v>
      </c>
      <c r="K18" s="27" t="s">
        <v>53</v>
      </c>
      <c r="L18" s="27" t="s">
        <v>53</v>
      </c>
      <c r="M18" s="27" t="s">
        <v>53</v>
      </c>
    </row>
    <row r="19" ht="13.5" spans="1:13">
      <c r="A19" s="22">
        <v>15</v>
      </c>
      <c r="B19" s="18" t="s">
        <v>53</v>
      </c>
      <c r="C19" s="18" t="s">
        <v>53</v>
      </c>
      <c r="D19" s="19" t="str">
        <f t="shared" si="0"/>
        <v>-</v>
      </c>
      <c r="E19" s="20" t="s">
        <v>53</v>
      </c>
      <c r="F19" s="20" t="s">
        <v>53</v>
      </c>
      <c r="G19" s="20" t="s">
        <v>53</v>
      </c>
      <c r="H19" s="20" t="s">
        <v>53</v>
      </c>
      <c r="I19" s="20" t="s">
        <v>53</v>
      </c>
      <c r="J19" s="20" t="s">
        <v>53</v>
      </c>
      <c r="K19" s="27" t="s">
        <v>53</v>
      </c>
      <c r="L19" s="27" t="s">
        <v>53</v>
      </c>
      <c r="M19" s="27" t="s">
        <v>53</v>
      </c>
    </row>
    <row r="20" ht="13.5" spans="1:14">
      <c r="A20" s="23">
        <v>16</v>
      </c>
      <c r="B20" s="18" t="s">
        <v>53</v>
      </c>
      <c r="C20" s="18" t="s">
        <v>53</v>
      </c>
      <c r="D20" s="19" t="str">
        <f t="shared" si="0"/>
        <v>-</v>
      </c>
      <c r="E20" s="20" t="s">
        <v>53</v>
      </c>
      <c r="F20" s="20" t="s">
        <v>53</v>
      </c>
      <c r="G20" s="20" t="s">
        <v>53</v>
      </c>
      <c r="H20" s="20" t="s">
        <v>53</v>
      </c>
      <c r="I20" s="20" t="s">
        <v>53</v>
      </c>
      <c r="J20" s="20" t="s">
        <v>53</v>
      </c>
      <c r="K20" s="27" t="s">
        <v>53</v>
      </c>
      <c r="L20" s="27" t="s">
        <v>53</v>
      </c>
      <c r="M20" s="27" t="s">
        <v>53</v>
      </c>
      <c r="N20" s="42"/>
    </row>
    <row r="21" ht="13.5" spans="1:14">
      <c r="A21" s="21">
        <v>17</v>
      </c>
      <c r="B21" s="18" t="s">
        <v>53</v>
      </c>
      <c r="C21" s="18" t="s">
        <v>53</v>
      </c>
      <c r="D21" s="19" t="str">
        <f t="shared" si="0"/>
        <v>-</v>
      </c>
      <c r="E21" s="20" t="s">
        <v>53</v>
      </c>
      <c r="F21" s="20" t="s">
        <v>53</v>
      </c>
      <c r="G21" s="20" t="s">
        <v>53</v>
      </c>
      <c r="H21" s="20" t="s">
        <v>53</v>
      </c>
      <c r="I21" s="20" t="s">
        <v>53</v>
      </c>
      <c r="J21" s="20" t="s">
        <v>53</v>
      </c>
      <c r="K21" s="27" t="s">
        <v>53</v>
      </c>
      <c r="L21" s="27" t="s">
        <v>53</v>
      </c>
      <c r="M21" s="27" t="s">
        <v>53</v>
      </c>
      <c r="N21" s="42"/>
    </row>
    <row r="22" ht="13.5" spans="1:14">
      <c r="A22" s="21">
        <v>18</v>
      </c>
      <c r="B22" s="18" t="s">
        <v>53</v>
      </c>
      <c r="C22" s="18" t="s">
        <v>53</v>
      </c>
      <c r="D22" s="19" t="str">
        <f t="shared" si="0"/>
        <v>-</v>
      </c>
      <c r="E22" s="20" t="s">
        <v>53</v>
      </c>
      <c r="F22" s="20" t="s">
        <v>53</v>
      </c>
      <c r="G22" s="20" t="s">
        <v>53</v>
      </c>
      <c r="H22" s="20" t="s">
        <v>53</v>
      </c>
      <c r="I22" s="20" t="s">
        <v>53</v>
      </c>
      <c r="J22" s="20" t="s">
        <v>53</v>
      </c>
      <c r="K22" s="27" t="s">
        <v>53</v>
      </c>
      <c r="L22" s="27" t="s">
        <v>53</v>
      </c>
      <c r="M22" s="27" t="s">
        <v>53</v>
      </c>
      <c r="N22" s="42"/>
    </row>
    <row r="23" ht="13.5" spans="1:13">
      <c r="A23" s="21">
        <v>19</v>
      </c>
      <c r="B23" s="18" t="s">
        <v>53</v>
      </c>
      <c r="C23" s="18" t="s">
        <v>53</v>
      </c>
      <c r="D23" s="19" t="str">
        <f t="shared" si="0"/>
        <v>-</v>
      </c>
      <c r="E23" s="20" t="s">
        <v>53</v>
      </c>
      <c r="F23" s="20" t="s">
        <v>53</v>
      </c>
      <c r="G23" s="20" t="s">
        <v>53</v>
      </c>
      <c r="H23" s="20" t="s">
        <v>53</v>
      </c>
      <c r="I23" s="20" t="s">
        <v>53</v>
      </c>
      <c r="J23" s="20" t="s">
        <v>53</v>
      </c>
      <c r="K23" s="27" t="s">
        <v>53</v>
      </c>
      <c r="L23" s="27" t="s">
        <v>53</v>
      </c>
      <c r="M23" s="27" t="s">
        <v>53</v>
      </c>
    </row>
    <row r="24" ht="13.5" spans="1:13">
      <c r="A24" s="22">
        <v>20</v>
      </c>
      <c r="B24" s="18" t="s">
        <v>53</v>
      </c>
      <c r="C24" s="18" t="s">
        <v>53</v>
      </c>
      <c r="D24" s="19" t="str">
        <f t="shared" si="0"/>
        <v>-</v>
      </c>
      <c r="E24" s="20" t="s">
        <v>53</v>
      </c>
      <c r="F24" s="20" t="s">
        <v>53</v>
      </c>
      <c r="G24" s="20" t="s">
        <v>53</v>
      </c>
      <c r="H24" s="20" t="s">
        <v>53</v>
      </c>
      <c r="I24" s="20" t="s">
        <v>53</v>
      </c>
      <c r="J24" s="20" t="s">
        <v>53</v>
      </c>
      <c r="K24" s="27" t="s">
        <v>53</v>
      </c>
      <c r="L24" s="27" t="s">
        <v>53</v>
      </c>
      <c r="M24" s="27" t="s">
        <v>53</v>
      </c>
    </row>
    <row r="25" ht="13.5" spans="1:13">
      <c r="A25" s="23">
        <v>21</v>
      </c>
      <c r="B25" s="18" t="s">
        <v>53</v>
      </c>
      <c r="C25" s="18" t="s">
        <v>53</v>
      </c>
      <c r="D25" s="19" t="str">
        <f t="shared" si="0"/>
        <v>-</v>
      </c>
      <c r="E25" s="20" t="s">
        <v>53</v>
      </c>
      <c r="F25" s="20" t="s">
        <v>53</v>
      </c>
      <c r="G25" s="20" t="s">
        <v>53</v>
      </c>
      <c r="H25" s="20" t="s">
        <v>53</v>
      </c>
      <c r="I25" s="20" t="s">
        <v>53</v>
      </c>
      <c r="J25" s="20" t="s">
        <v>53</v>
      </c>
      <c r="K25" s="27" t="s">
        <v>53</v>
      </c>
      <c r="L25" s="27" t="s">
        <v>53</v>
      </c>
      <c r="M25" s="27" t="s">
        <v>53</v>
      </c>
    </row>
    <row r="26" ht="13.5" spans="1:13">
      <c r="A26" s="21">
        <v>22</v>
      </c>
      <c r="B26" s="18" t="s">
        <v>53</v>
      </c>
      <c r="C26" s="18" t="s">
        <v>53</v>
      </c>
      <c r="D26" s="19" t="str">
        <f t="shared" si="0"/>
        <v>-</v>
      </c>
      <c r="E26" s="20" t="s">
        <v>53</v>
      </c>
      <c r="F26" s="20" t="s">
        <v>53</v>
      </c>
      <c r="G26" s="20" t="s">
        <v>53</v>
      </c>
      <c r="H26" s="20" t="s">
        <v>53</v>
      </c>
      <c r="I26" s="20" t="s">
        <v>53</v>
      </c>
      <c r="J26" s="20" t="s">
        <v>53</v>
      </c>
      <c r="K26" s="27" t="s">
        <v>53</v>
      </c>
      <c r="L26" s="27" t="s">
        <v>53</v>
      </c>
      <c r="M26" s="27" t="s">
        <v>53</v>
      </c>
    </row>
    <row r="27" ht="13.5" spans="1:13">
      <c r="A27" s="21">
        <v>23</v>
      </c>
      <c r="B27" s="18" t="s">
        <v>53</v>
      </c>
      <c r="C27" s="18" t="s">
        <v>53</v>
      </c>
      <c r="D27" s="19" t="str">
        <f t="shared" si="0"/>
        <v>-</v>
      </c>
      <c r="E27" s="20" t="s">
        <v>53</v>
      </c>
      <c r="F27" s="20" t="s">
        <v>53</v>
      </c>
      <c r="G27" s="20" t="s">
        <v>53</v>
      </c>
      <c r="H27" s="20" t="s">
        <v>53</v>
      </c>
      <c r="I27" s="20" t="s">
        <v>53</v>
      </c>
      <c r="J27" s="20" t="s">
        <v>53</v>
      </c>
      <c r="K27" s="27" t="s">
        <v>53</v>
      </c>
      <c r="L27" s="27" t="s">
        <v>53</v>
      </c>
      <c r="M27" s="27" t="s">
        <v>53</v>
      </c>
    </row>
    <row r="28" ht="13.5" spans="1:13">
      <c r="A28" s="24">
        <v>24</v>
      </c>
      <c r="B28" s="18" t="s">
        <v>53</v>
      </c>
      <c r="C28" s="18" t="s">
        <v>53</v>
      </c>
      <c r="D28" s="19" t="str">
        <f t="shared" si="0"/>
        <v>-</v>
      </c>
      <c r="E28" s="20" t="s">
        <v>53</v>
      </c>
      <c r="F28" s="20" t="s">
        <v>53</v>
      </c>
      <c r="G28" s="20" t="s">
        <v>53</v>
      </c>
      <c r="H28" s="20" t="s">
        <v>53</v>
      </c>
      <c r="I28" s="20" t="s">
        <v>53</v>
      </c>
      <c r="J28" s="20" t="s">
        <v>53</v>
      </c>
      <c r="K28" s="27" t="s">
        <v>53</v>
      </c>
      <c r="L28" s="27" t="s">
        <v>53</v>
      </c>
      <c r="M28" s="27" t="s">
        <v>53</v>
      </c>
    </row>
    <row r="29" ht="13.5" spans="1:13">
      <c r="A29" s="25">
        <v>25</v>
      </c>
      <c r="B29" s="18" t="s">
        <v>53</v>
      </c>
      <c r="C29" s="18" t="s">
        <v>53</v>
      </c>
      <c r="D29" s="19" t="str">
        <f t="shared" si="0"/>
        <v>-</v>
      </c>
      <c r="E29" s="20" t="s">
        <v>53</v>
      </c>
      <c r="F29" s="20" t="s">
        <v>53</v>
      </c>
      <c r="G29" s="20" t="s">
        <v>53</v>
      </c>
      <c r="H29" s="20" t="s">
        <v>53</v>
      </c>
      <c r="I29" s="20" t="s">
        <v>53</v>
      </c>
      <c r="J29" s="20" t="s">
        <v>53</v>
      </c>
      <c r="K29" s="27" t="s">
        <v>53</v>
      </c>
      <c r="L29" s="27" t="s">
        <v>53</v>
      </c>
      <c r="M29" s="27" t="s">
        <v>53</v>
      </c>
    </row>
    <row r="30" ht="13.5" spans="1:13">
      <c r="A30" s="26">
        <v>26</v>
      </c>
      <c r="B30" s="18" t="s">
        <v>53</v>
      </c>
      <c r="C30" s="18" t="s">
        <v>53</v>
      </c>
      <c r="D30" s="19" t="str">
        <f t="shared" si="0"/>
        <v>-</v>
      </c>
      <c r="E30" s="20" t="s">
        <v>53</v>
      </c>
      <c r="F30" s="20" t="s">
        <v>53</v>
      </c>
      <c r="G30" s="20" t="s">
        <v>53</v>
      </c>
      <c r="H30" s="20" t="s">
        <v>53</v>
      </c>
      <c r="I30" s="20" t="s">
        <v>53</v>
      </c>
      <c r="J30" s="20" t="s">
        <v>53</v>
      </c>
      <c r="K30" s="27" t="s">
        <v>53</v>
      </c>
      <c r="L30" s="27" t="s">
        <v>53</v>
      </c>
      <c r="M30" s="27" t="s">
        <v>53</v>
      </c>
    </row>
    <row r="31" ht="13.5" spans="1:13">
      <c r="A31" s="26">
        <v>27</v>
      </c>
      <c r="B31" s="18" t="s">
        <v>53</v>
      </c>
      <c r="C31" s="18" t="s">
        <v>53</v>
      </c>
      <c r="D31" s="19" t="str">
        <f t="shared" si="0"/>
        <v>-</v>
      </c>
      <c r="E31" s="20" t="s">
        <v>53</v>
      </c>
      <c r="F31" s="20" t="s">
        <v>53</v>
      </c>
      <c r="G31" s="20" t="s">
        <v>53</v>
      </c>
      <c r="H31" s="20" t="s">
        <v>53</v>
      </c>
      <c r="I31" s="20" t="s">
        <v>53</v>
      </c>
      <c r="J31" s="20" t="s">
        <v>53</v>
      </c>
      <c r="K31" s="27" t="s">
        <v>53</v>
      </c>
      <c r="L31" s="27" t="s">
        <v>53</v>
      </c>
      <c r="M31" s="27" t="s">
        <v>53</v>
      </c>
    </row>
    <row r="32" ht="13.5" spans="1:13">
      <c r="A32" s="26">
        <v>28</v>
      </c>
      <c r="B32" s="18" t="s">
        <v>53</v>
      </c>
      <c r="C32" s="18" t="s">
        <v>53</v>
      </c>
      <c r="D32" s="19" t="str">
        <f t="shared" si="0"/>
        <v>-</v>
      </c>
      <c r="E32" s="20" t="s">
        <v>53</v>
      </c>
      <c r="F32" s="20" t="s">
        <v>53</v>
      </c>
      <c r="G32" s="20" t="s">
        <v>53</v>
      </c>
      <c r="H32" s="20" t="s">
        <v>53</v>
      </c>
      <c r="I32" s="20" t="s">
        <v>53</v>
      </c>
      <c r="J32" s="20" t="s">
        <v>53</v>
      </c>
      <c r="K32" s="27" t="s">
        <v>53</v>
      </c>
      <c r="L32" s="27" t="s">
        <v>53</v>
      </c>
      <c r="M32" s="27" t="s">
        <v>53</v>
      </c>
    </row>
    <row r="33" ht="13.5" spans="1:13">
      <c r="A33" s="26">
        <v>29</v>
      </c>
      <c r="B33" s="18" t="s">
        <v>53</v>
      </c>
      <c r="C33" s="18" t="s">
        <v>53</v>
      </c>
      <c r="D33" s="19" t="str">
        <f t="shared" si="0"/>
        <v>-</v>
      </c>
      <c r="E33" s="20" t="s">
        <v>53</v>
      </c>
      <c r="F33" s="20" t="s">
        <v>53</v>
      </c>
      <c r="G33" s="20" t="s">
        <v>53</v>
      </c>
      <c r="H33" s="20" t="s">
        <v>53</v>
      </c>
      <c r="I33" s="20" t="s">
        <v>53</v>
      </c>
      <c r="J33" s="20" t="s">
        <v>53</v>
      </c>
      <c r="K33" s="27" t="s">
        <v>53</v>
      </c>
      <c r="L33" s="27" t="s">
        <v>53</v>
      </c>
      <c r="M33" s="27" t="s">
        <v>53</v>
      </c>
    </row>
    <row r="34" ht="13.5" spans="1:13">
      <c r="A34" s="26">
        <v>30</v>
      </c>
      <c r="B34" s="18" t="s">
        <v>53</v>
      </c>
      <c r="C34" s="18" t="s">
        <v>53</v>
      </c>
      <c r="D34" s="19" t="str">
        <f t="shared" si="0"/>
        <v>-</v>
      </c>
      <c r="E34" s="20" t="s">
        <v>53</v>
      </c>
      <c r="F34" s="20" t="s">
        <v>53</v>
      </c>
      <c r="G34" s="20" t="s">
        <v>53</v>
      </c>
      <c r="H34" s="20" t="s">
        <v>53</v>
      </c>
      <c r="I34" s="20" t="s">
        <v>53</v>
      </c>
      <c r="J34" s="20" t="s">
        <v>53</v>
      </c>
      <c r="K34" s="27" t="s">
        <v>53</v>
      </c>
      <c r="L34" s="27" t="s">
        <v>53</v>
      </c>
      <c r="M34" s="27" t="s">
        <v>53</v>
      </c>
    </row>
    <row r="35" ht="13.5" spans="1:13">
      <c r="A35" s="26">
        <v>31</v>
      </c>
      <c r="B35" s="18" t="s">
        <v>53</v>
      </c>
      <c r="C35" s="18" t="s">
        <v>53</v>
      </c>
      <c r="D35" s="19" t="str">
        <f t="shared" si="0"/>
        <v>-</v>
      </c>
      <c r="E35" s="27" t="s">
        <v>53</v>
      </c>
      <c r="F35" s="27" t="s">
        <v>53</v>
      </c>
      <c r="G35" s="27" t="s">
        <v>53</v>
      </c>
      <c r="H35" s="27" t="s">
        <v>53</v>
      </c>
      <c r="I35" s="27" t="s">
        <v>53</v>
      </c>
      <c r="J35" s="27" t="s">
        <v>53</v>
      </c>
      <c r="K35" s="27" t="s">
        <v>53</v>
      </c>
      <c r="L35" s="27" t="s">
        <v>53</v>
      </c>
      <c r="M35" s="27" t="s">
        <v>53</v>
      </c>
    </row>
    <row r="36" ht="14.25" customHeight="1" spans="1:13">
      <c r="A36" s="28" t="s">
        <v>55</v>
      </c>
      <c r="B36" s="29">
        <f t="shared" ref="B36:D36" si="1">SUM(B5:B35)</f>
        <v>0</v>
      </c>
      <c r="C36" s="29">
        <f t="shared" si="1"/>
        <v>0</v>
      </c>
      <c r="D36" s="29">
        <f t="shared" si="1"/>
        <v>0</v>
      </c>
      <c r="E36" s="30" t="s">
        <v>69</v>
      </c>
      <c r="F36" s="31"/>
      <c r="G36" s="31"/>
      <c r="H36" s="31"/>
      <c r="I36" s="31"/>
      <c r="J36" s="31"/>
      <c r="K36" s="31"/>
      <c r="L36" s="31"/>
      <c r="M36" s="43"/>
    </row>
    <row r="37" spans="1:13">
      <c r="A37" s="32"/>
      <c r="B37" s="33"/>
      <c r="C37" s="33"/>
      <c r="D37" s="33"/>
      <c r="E37" s="34"/>
      <c r="F37" s="34"/>
      <c r="G37" s="34"/>
      <c r="H37" s="34"/>
      <c r="I37" s="34"/>
      <c r="J37" s="34"/>
      <c r="K37" s="34"/>
      <c r="L37" s="34"/>
      <c r="M37" s="34"/>
    </row>
    <row r="38" ht="23.25" customHeight="1" spans="1:13">
      <c r="A38" s="32" t="s">
        <v>56</v>
      </c>
      <c r="B38" s="35">
        <f t="shared" ref="B38:M38" si="2">MAX(B5:B35)</f>
        <v>0</v>
      </c>
      <c r="C38" s="35">
        <f t="shared" si="2"/>
        <v>0</v>
      </c>
      <c r="D38" s="35">
        <f t="shared" si="2"/>
        <v>0</v>
      </c>
      <c r="E38" s="36">
        <f t="shared" si="2"/>
        <v>0</v>
      </c>
      <c r="F38" s="36">
        <f t="shared" si="2"/>
        <v>0</v>
      </c>
      <c r="G38" s="36">
        <f t="shared" si="2"/>
        <v>0</v>
      </c>
      <c r="H38" s="36">
        <f t="shared" si="2"/>
        <v>0</v>
      </c>
      <c r="I38" s="36">
        <f t="shared" si="2"/>
        <v>0</v>
      </c>
      <c r="J38" s="36">
        <f t="shared" si="2"/>
        <v>0</v>
      </c>
      <c r="K38" s="36">
        <f t="shared" si="2"/>
        <v>0</v>
      </c>
      <c r="L38" s="36">
        <f t="shared" si="2"/>
        <v>0</v>
      </c>
      <c r="M38" s="36">
        <f t="shared" si="2"/>
        <v>0</v>
      </c>
    </row>
    <row r="39" spans="1:13">
      <c r="A39" s="37"/>
      <c r="B39" s="3" t="s">
        <v>57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44"/>
    </row>
    <row r="40" spans="1:13">
      <c r="A40" s="38"/>
      <c r="B40" s="39" t="s">
        <v>70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5"/>
    </row>
  </sheetData>
  <mergeCells count="11">
    <mergeCell ref="E1:M1"/>
    <mergeCell ref="E2:M2"/>
    <mergeCell ref="E36:M36"/>
    <mergeCell ref="B39:L39"/>
    <mergeCell ref="B40:L40"/>
    <mergeCell ref="A1:A4"/>
    <mergeCell ref="A36:A37"/>
    <mergeCell ref="B36:B37"/>
    <mergeCell ref="C36:C37"/>
    <mergeCell ref="D36:D37"/>
    <mergeCell ref="B1:D2"/>
  </mergeCells>
  <printOptions horizontalCentered="1"/>
  <pageMargins left="0.25" right="0.25" top="0.75" bottom="0.75" header="0.3" footer="0.3"/>
  <pageSetup paperSize="9" scale="77" orientation="landscape" horizontalDpi="360" verticalDpi="36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</vt:lpstr>
      <vt:lpstr>B 1</vt:lpstr>
      <vt:lpstr>B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DigitasiSatu</dc:creator>
  <cp:lastModifiedBy>zavie</cp:lastModifiedBy>
  <dcterms:created xsi:type="dcterms:W3CDTF">2014-10-29T05:52:00Z</dcterms:created>
  <cp:lastPrinted>2026-04-02T01:34:00Z</cp:lastPrinted>
  <dcterms:modified xsi:type="dcterms:W3CDTF">2026-08-15T14:03:56Z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749921B80E2A463D90F3CB40B24F6244</vt:lpwstr>
  </property>
  <property fmtid="{D5CDD505-2E9C-101B-9397-08002B2CF9AE}" pid="3" name="KSOProductBuildVer">
    <vt:lpwstr>2057-11.2.0.11537</vt:lpwstr>
  </property>
</Properties>
</file>